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글로벌 사림아너스\"/>
    </mc:Choice>
  </mc:AlternateContent>
  <xr:revisionPtr revIDLastSave="0" documentId="13_ncr:1_{3CA7E7F8-F249-4274-BC28-B816436E60D2}" xr6:coauthVersionLast="36" xr6:coauthVersionMax="36" xr10:uidLastSave="{00000000-0000-0000-0000-000000000000}"/>
  <bookViews>
    <workbookView xWindow="0" yWindow="0" windowWidth="28800" windowHeight="12060" activeTab="1" xr2:uid="{55D73249-1BDE-4F84-BCF4-AD8453B2063C}"/>
  </bookViews>
  <sheets>
    <sheet name="서식2-1. 인증 프로그램(기등록)" sheetId="1" r:id="rId1"/>
    <sheet name="서식2-2.신규 및 미등록 프로그램" sheetId="2" r:id="rId2"/>
  </sheets>
  <definedNames>
    <definedName name="_xlnm._FilterDatabase" localSheetId="0" hidden="1">'서식2-1. 인증 프로그램(기등록)'!$A$5:$AZ$86</definedName>
    <definedName name="_xlnm._FilterDatabase" localSheetId="1" hidden="1">'서식2-2.신규 및 미등록 프로그램'!$A$4:$AR$25</definedName>
    <definedName name="_xlnm.Print_Area" localSheetId="0">'서식2-1. 인증 프로그램(기등록)'!$A$1:$N$36</definedName>
    <definedName name="_xlnm.Print_Area" localSheetId="1">'서식2-2.신규 및 미등록 프로그램'!$A$1:$AE$25</definedName>
    <definedName name="_xlnm.Print_Titles" localSheetId="0">'서식2-1. 인증 프로그램(기등록)'!$1:$3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6" i="1" l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</calcChain>
</file>

<file path=xl/sharedStrings.xml><?xml version="1.0" encoding="utf-8"?>
<sst xmlns="http://schemas.openxmlformats.org/spreadsheetml/2006/main" count="670" uniqueCount="282">
  <si>
    <t>전체
연번</t>
    <phoneticPr fontId="3" type="noConversion"/>
  </si>
  <si>
    <t>연번</t>
    <phoneticPr fontId="3" type="noConversion"/>
  </si>
  <si>
    <t>★지원분야</t>
    <phoneticPr fontId="3" type="noConversion"/>
  </si>
  <si>
    <t>★구분</t>
    <phoneticPr fontId="3" type="noConversion"/>
  </si>
  <si>
    <t>★영역</t>
    <phoneticPr fontId="3" type="noConversion"/>
  </si>
  <si>
    <t>운영부서</t>
    <phoneticPr fontId="3" type="noConversion"/>
  </si>
  <si>
    <t>★프로그램명</t>
    <phoneticPr fontId="3" type="noConversion"/>
  </si>
  <si>
    <t>프로그램 개요</t>
    <phoneticPr fontId="3" type="noConversion"/>
  </si>
  <si>
    <t>★핵심역량 배분</t>
    <phoneticPr fontId="3" type="noConversion"/>
  </si>
  <si>
    <t>재원</t>
    <phoneticPr fontId="3" type="noConversion"/>
  </si>
  <si>
    <t>비고</t>
    <phoneticPr fontId="3" type="noConversion"/>
  </si>
  <si>
    <t>대표역량</t>
    <phoneticPr fontId="3" type="noConversion"/>
  </si>
  <si>
    <t>지역형리더</t>
    <phoneticPr fontId="3" type="noConversion"/>
  </si>
  <si>
    <t>창의적사고</t>
    <phoneticPr fontId="3" type="noConversion"/>
  </si>
  <si>
    <t>실용적융복합</t>
    <phoneticPr fontId="3" type="noConversion"/>
  </si>
  <si>
    <t>의사소통</t>
    <phoneticPr fontId="3" type="noConversion"/>
  </si>
  <si>
    <t>글로벌</t>
    <phoneticPr fontId="3" type="noConversion"/>
  </si>
  <si>
    <t>총계</t>
    <phoneticPr fontId="3" type="noConversion"/>
  </si>
  <si>
    <t>인권강화지원</t>
    <phoneticPr fontId="3" type="noConversion"/>
  </si>
  <si>
    <t>주</t>
  </si>
  <si>
    <t>교육형</t>
  </si>
  <si>
    <t>인권센터</t>
    <phoneticPr fontId="3" type="noConversion"/>
  </si>
  <si>
    <t>인권문화프로그램</t>
    <phoneticPr fontId="3" type="noConversion"/>
  </si>
  <si>
    <t>주</t>
    <phoneticPr fontId="3" type="noConversion"/>
  </si>
  <si>
    <t>봉사형</t>
  </si>
  <si>
    <t>인권센터</t>
  </si>
  <si>
    <t>인권지킴이양성및활동프로그램</t>
  </si>
  <si>
    <t>학부 재학생 대상으로 개인활동과 조별활동을 통해 대학 내 인권 친화적 환경을 조성하고 참가자의 인권감수성을 기르고 인권의식을 향상시킬 수 있는 기회 마련을 위한 프로그램</t>
    <phoneticPr fontId="3" type="noConversion"/>
  </si>
  <si>
    <t>탐방형</t>
    <phoneticPr fontId="3" type="noConversion"/>
  </si>
  <si>
    <t>인권역사탐방 캠프</t>
    <phoneticPr fontId="3" type="noConversion"/>
  </si>
  <si>
    <t>진로심리상담지원</t>
  </si>
  <si>
    <t>학생상담센터</t>
    <phoneticPr fontId="3" type="noConversion"/>
  </si>
  <si>
    <t>또래상담자양성보수과정</t>
  </si>
  <si>
    <t>부</t>
  </si>
  <si>
    <t>상담형</t>
  </si>
  <si>
    <t>또래상담자 슈퍼비전</t>
  </si>
  <si>
    <t>진로심리상담지원</t>
    <phoneticPr fontId="3" type="noConversion"/>
  </si>
  <si>
    <t>취업전략센터</t>
    <phoneticPr fontId="3" type="noConversion"/>
  </si>
  <si>
    <t>진로캠프</t>
    <phoneticPr fontId="3" type="noConversion"/>
  </si>
  <si>
    <t>합숙을 통한 진로설정교육으로, 진로설정 기틀마련과 자기성찰의 기회 제공</t>
  </si>
  <si>
    <t>마음건강증진교육프로그램</t>
  </si>
  <si>
    <t xml:space="preserve">자기 이해와 상호관계적 이해를 도와 마음건강증진을 지원하는 프로그램 </t>
  </si>
  <si>
    <t>학년별맞춤형진로취업지도교육과정(저/고학년)</t>
  </si>
  <si>
    <t>학년별 맞춤 진로취업지도 교육</t>
    <phoneticPr fontId="3" type="noConversion"/>
  </si>
  <si>
    <t>마인드파워강화프로그램</t>
  </si>
  <si>
    <t>집단상담</t>
  </si>
  <si>
    <t>학과로찾아가는상담</t>
  </si>
  <si>
    <t>심리상담</t>
    <phoneticPr fontId="3" type="noConversion"/>
  </si>
  <si>
    <t>취업상담</t>
  </si>
  <si>
    <t>개별 상담을 통해 체계적인 진로지도 및 취업정보 제공</t>
  </si>
  <si>
    <t>탐방형</t>
  </si>
  <si>
    <t>창대인마음정거장</t>
    <phoneticPr fontId="3" type="noConversion"/>
  </si>
  <si>
    <t>상담형</t>
    <phoneticPr fontId="3" type="noConversion"/>
  </si>
  <si>
    <t>울산·경남지역 혁신플랫폼 스마트제조엔지니어링사업단</t>
    <phoneticPr fontId="3" type="noConversion"/>
  </si>
  <si>
    <t>취업멘토링및컨설팅</t>
    <phoneticPr fontId="3" type="noConversion"/>
  </si>
  <si>
    <t>진로·취업 컨설팅을 통한 취업역량함양 및 정보 교류</t>
    <phoneticPr fontId="3" type="noConversion"/>
  </si>
  <si>
    <t>취창업지원</t>
    <phoneticPr fontId="3" type="noConversion"/>
  </si>
  <si>
    <t>교육형</t>
    <phoneticPr fontId="3" type="noConversion"/>
  </si>
  <si>
    <t>대회형</t>
  </si>
  <si>
    <t>연구형</t>
  </si>
  <si>
    <t>NCS 기반 채용 프로세스 이해 및 직업기초역량 강화</t>
    <phoneticPr fontId="3" type="noConversion"/>
  </si>
  <si>
    <t>캠퍼스리크루팅및채용설명회(박람회)</t>
  </si>
  <si>
    <t>캠퍼스 리크루팅 및 채용설명회 참여를 통한 각 기업 채용프로세스 이해</t>
    <phoneticPr fontId="3" type="noConversion"/>
  </si>
  <si>
    <t>직무역량강화프로그램</t>
  </si>
  <si>
    <t>분야별, 직무별 실무역량 강화 프로그램</t>
    <phoneticPr fontId="3" type="noConversion"/>
  </si>
  <si>
    <t>취업캠프</t>
    <phoneticPr fontId="3" type="noConversion"/>
  </si>
  <si>
    <t>합숙을 통한 집중 교육으로 취업역량강화</t>
    <phoneticPr fontId="3" type="noConversion"/>
  </si>
  <si>
    <t>CWNU-프런티어클럽</t>
  </si>
  <si>
    <t>3,4학년 재학생 취업희망자 대상 멤버십 제도 운영으로 취업 지원</t>
  </si>
  <si>
    <t>CWNU-SMART살롱</t>
  </si>
  <si>
    <t>1,2학년 40명 내외를 선발하여 시즌제 멤버십 운영으로 저학년부터 졸업 후 사회진입(취업)을 위한 진로 및 취업지원을 통한 학년별‧단계별 모델링 구축</t>
  </si>
  <si>
    <t>공모전/채용경진대회</t>
    <phoneticPr fontId="3" type="noConversion"/>
  </si>
  <si>
    <t>학생들의 취업 지원을 위한 경진대회 운영</t>
    <phoneticPr fontId="3" type="noConversion"/>
  </si>
  <si>
    <t>취업역량강화프로그램</t>
    <phoneticPr fontId="3" type="noConversion"/>
  </si>
  <si>
    <t>취업역량강화를 위한 맞춤형 프로그램(6시그마, 취업캠프, 면접특강 등) 운영</t>
    <phoneticPr fontId="3" type="noConversion"/>
  </si>
  <si>
    <t>봉사형</t>
    <phoneticPr fontId="3" type="noConversion"/>
  </si>
  <si>
    <t>USG공유대학홍보서포터즈</t>
  </si>
  <si>
    <t>USG공유대학 및 스마트제조엔지니어링사업단 홍보 서포터즈 운영</t>
    <phoneticPr fontId="3" type="noConversion"/>
  </si>
  <si>
    <t>학습역량강화</t>
    <phoneticPr fontId="3" type="noConversion"/>
  </si>
  <si>
    <t>제2외국어향상프로그램</t>
    <phoneticPr fontId="3" type="noConversion"/>
  </si>
  <si>
    <t xml:space="preserve">학부생을 대상으로 한 통합형 외국어 강의 운영 프로그램 </t>
    <phoneticPr fontId="3" type="noConversion"/>
  </si>
  <si>
    <t>원투원프로그램</t>
  </si>
  <si>
    <t>유학생과의 1:1 언어문화교류</t>
    <phoneticPr fontId="3" type="noConversion"/>
  </si>
  <si>
    <t>유학생한국어능력시험대비반</t>
    <phoneticPr fontId="3" type="noConversion"/>
  </si>
  <si>
    <t>재학 유학생 한국어 능력시험(TOPIK) 취득을 위한 대비반 교육 운영</t>
  </si>
  <si>
    <t>국제교류원국제학생회</t>
  </si>
  <si>
    <t>국제교류원 국제화․유학생지원 프로그램 기획 및 운영</t>
    <phoneticPr fontId="3" type="noConversion"/>
  </si>
  <si>
    <t>유학생학습스터디</t>
  </si>
  <si>
    <t>유학생 전공학습 및 한국어학습 스터디 그룹 지원</t>
    <phoneticPr fontId="3" type="noConversion"/>
  </si>
  <si>
    <t>글로벌버디프로그램</t>
    <phoneticPr fontId="3" type="noConversion"/>
  </si>
  <si>
    <t>재․유학생 1:1 매칭을 통한 유학생 한국생활 적응 지원 프로그램</t>
    <phoneticPr fontId="3" type="noConversion"/>
  </si>
  <si>
    <t>영어향상프로그램</t>
    <phoneticPr fontId="3" type="noConversion"/>
  </si>
  <si>
    <t>학부생 대상 학습자 맞춤형 영어 교육 실시(토익, 토익스피킹, 오픽, 영어회화 등)</t>
  </si>
  <si>
    <t>영어 정기시험대비 특강</t>
    <phoneticPr fontId="3" type="noConversion"/>
  </si>
  <si>
    <t>재학생(학부/대학원) 대상 토익/토익스피킹/오픽 특강 실시</t>
    <phoneticPr fontId="3" type="noConversion"/>
  </si>
  <si>
    <t>대회형</t>
    <phoneticPr fontId="3" type="noConversion"/>
  </si>
  <si>
    <t>국책사업추진단</t>
    <phoneticPr fontId="3" type="noConversion"/>
  </si>
  <si>
    <t>다문화다중언어교육멘토십</t>
  </si>
  <si>
    <t>다문화가정 출신 학생들의 학습 능력 향상을 위한 멘토링</t>
    <phoneticPr fontId="3" type="noConversion"/>
  </si>
  <si>
    <t>다(多)같이 서포터즈</t>
    <phoneticPr fontId="3" type="noConversion"/>
  </si>
  <si>
    <t>지역 연계 활동 수행으로 지역사회 화합의 주체가 되어 다문화 수용성 제고, 유학생-재학생 간 네트워크 형성</t>
    <phoneticPr fontId="3" type="noConversion"/>
  </si>
  <si>
    <t>대학언론사</t>
  </si>
  <si>
    <t>창원대문학상공모</t>
  </si>
  <si>
    <t>시,소설, 수필 작품 공모 후 수상작 시상</t>
    <phoneticPr fontId="3" type="noConversion"/>
  </si>
  <si>
    <t>문화테크노학과</t>
  </si>
  <si>
    <t>지역문화기획해커톤대회</t>
  </si>
  <si>
    <t>해커톤(HACKATHON)은‘해킹’과‘마라톤’의 합성어 ‘지역문화기획’을 주제로 한정된 시간 내에 아이디어를 도출하고 결과물을 만들어내는 협업 프로젝트</t>
    <phoneticPr fontId="3" type="noConversion"/>
  </si>
  <si>
    <t>연구형</t>
    <phoneticPr fontId="3" type="noConversion"/>
  </si>
  <si>
    <t>사회과학연구소</t>
    <phoneticPr fontId="3" type="noConversion"/>
  </si>
  <si>
    <t>스마트제조혁신선도대학사업단</t>
    <phoneticPr fontId="3" type="noConversion"/>
  </si>
  <si>
    <t>스마트제조융합기업체맞춤형인증제프로그램</t>
    <phoneticPr fontId="3" type="noConversion"/>
  </si>
  <si>
    <t>ICT기업의 직강을 통한 CATIA, EVONIA, Digital Twin, ANSYS, 3D Printing, CNC 등의 S/W, H/W 교육프로그램 운영</t>
    <phoneticPr fontId="3" type="noConversion"/>
  </si>
  <si>
    <t>스마트제조융합기업/전문가초청및인문학연계특강</t>
    <phoneticPr fontId="3" type="noConversion"/>
  </si>
  <si>
    <t>스마트제조융합 분야 전문가 초청 및 취업특강, 인문학 연계 특강 진행</t>
    <phoneticPr fontId="3" type="noConversion"/>
  </si>
  <si>
    <t>모빌리티, 기계설계해석, 지능로봇 분야 아이디어 기획, 도출, 시제품 제작, 마케팅 등 제품 및 기술 개발의 전주기 과정을 경험 할 수 있는 경진대회</t>
  </si>
  <si>
    <t>정보전산원</t>
  </si>
  <si>
    <t>디지털학습능력향상과정</t>
    <phoneticPr fontId="3" type="noConversion"/>
  </si>
  <si>
    <t>학생들의학습능력및 취업역량강화를 위한 IT활용능력 향상 프로그램</t>
    <phoneticPr fontId="3" type="noConversion"/>
  </si>
  <si>
    <t>창업자산융합학부</t>
  </si>
  <si>
    <t>마을공동체혁신문화나눔프로젝트</t>
    <phoneticPr fontId="3" type="noConversion"/>
  </si>
  <si>
    <r>
      <t xml:space="preserve">성인학습자를 대상으로 창업, 재취업, 자산관리 등의 </t>
    </r>
    <r>
      <rPr>
        <sz val="10"/>
        <rFont val="HY중고딕"/>
        <family val="1"/>
        <charset val="129"/>
      </rPr>
      <t>정보 제공 프로그램</t>
    </r>
    <phoneticPr fontId="3" type="noConversion"/>
  </si>
  <si>
    <t>학생교육서포터즈</t>
    <phoneticPr fontId="3" type="noConversion"/>
  </si>
  <si>
    <t>교육수요자 의견을 반영한 학생 중심 프로그램 홍보 및 모니터링을 위한 학생교육서포터즈 운영</t>
    <phoneticPr fontId="3" type="noConversion"/>
  </si>
  <si>
    <t>학습능력향상튜터풀</t>
  </si>
  <si>
    <t>전공교과목 중 같은 과목을 이수 예정인 튜티(4~7명)와 그 과목을 선 이수한 튜터가 한팀을 이루어 공부하는 학습 소공동체</t>
    <phoneticPr fontId="3" type="noConversion"/>
  </si>
  <si>
    <t>학습법워크숍</t>
  </si>
  <si>
    <t>교내 학생들 및 학부교수의 우수 학습법 사례발표, 특강</t>
  </si>
  <si>
    <t>기초학력진단평가</t>
  </si>
  <si>
    <t>기초학력증진프로그램</t>
  </si>
  <si>
    <t>기초학력 진단평가 결과에 따라 기초과목 온라인강의 연계를 통한 학습 지원</t>
    <phoneticPr fontId="3" type="noConversion"/>
  </si>
  <si>
    <t>학습컨설팅</t>
  </si>
  <si>
    <t>학습능력 진단과 학습자 특성 및 효과적인 맞춤형 학습 설계·지도를 위한 학습 컨설팅</t>
    <phoneticPr fontId="3" type="noConversion"/>
  </si>
  <si>
    <t>디지털학습능력진단평가</t>
  </si>
  <si>
    <t>단과대학 또는 학과(부) 주관  교과 연계를 통한 학습소공동체 및 학술제 운영</t>
    <phoneticPr fontId="3" type="noConversion"/>
  </si>
  <si>
    <t>경남지역대학생맞춤형공동교육</t>
  </si>
  <si>
    <t>대학(창원대, 경상국립대, 진주교대) 간 공동 교육과정에 참여를 통한 제도적 문제 발굴⋅연구 및 실현</t>
  </si>
  <si>
    <t>학습역량향상멘토링</t>
    <phoneticPr fontId="3" type="noConversion"/>
  </si>
  <si>
    <t xml:space="preserve">우수 학습법 발굴 및 확산을 위한 학습 공모전 운영 </t>
    <phoneticPr fontId="3" type="noConversion"/>
  </si>
  <si>
    <t>교양교육원</t>
    <phoneticPr fontId="3" type="noConversion"/>
  </si>
  <si>
    <t>의사소통up프로그램</t>
  </si>
  <si>
    <t>의사소통역량 증진을 위한 글쓰기-말하기 특강 프로그램</t>
    <phoneticPr fontId="3" type="noConversion"/>
  </si>
  <si>
    <t>의사소통능력강화경진대회</t>
    <phoneticPr fontId="3" type="noConversion"/>
  </si>
  <si>
    <t>의사소통역량 강화를 위한 글쓰기, UCC 등 경진대회 운영</t>
    <phoneticPr fontId="3" type="noConversion"/>
  </si>
  <si>
    <t>의사소통클리닉</t>
    <phoneticPr fontId="3" type="noConversion"/>
  </si>
  <si>
    <t>글쓰기, 말하기(발표) 클리닉 1:1 상담 운영</t>
    <phoneticPr fontId="3" type="noConversion"/>
  </si>
  <si>
    <t>청출어람전공현장탐방</t>
    <phoneticPr fontId="3" type="noConversion"/>
  </si>
  <si>
    <t>사제가 동행하여 취업과 연계한 전공 관련 현장탐방을 실시하여 공동체 의식 및 유대관계를 강화하고 전공 관련 실무 지식 습득 및 현장체험 기회 제공</t>
    <phoneticPr fontId="3" type="noConversion"/>
  </si>
  <si>
    <t>특수교육과</t>
    <phoneticPr fontId="3" type="noConversion"/>
  </si>
  <si>
    <t>중도중복장애아동보조공학적용자세지도프로그램</t>
  </si>
  <si>
    <t>중도중복장애아동 보조공학 적용 자세지도 기술을 전문가로부터 배우는 활동</t>
  </si>
  <si>
    <t>AAC마을프로젝트사회봉사프로그램</t>
  </si>
  <si>
    <t>AAC 의사소통판을 만들고 지역사회 장애인 기관과 연계하여 장애인들이 AAC의사소통판을 사용하여 지역사회에 완전통합될수 있도록 지원하는 봉사활동 운영</t>
  </si>
  <si>
    <t>수어교육프로그램</t>
  </si>
  <si>
    <t>농인강사를 통해 농인들의 제1언어인 수어를 직접 학생들이 배우고, 배운 것을 지역 수어동아리 고교학생들과 함께 공유하는 방식으로 운영</t>
  </si>
  <si>
    <t>철학과</t>
    <phoneticPr fontId="3" type="noConversion"/>
  </si>
  <si>
    <t>영남권철학과학부연합논문발표회(YPUF)</t>
    <phoneticPr fontId="3" type="noConversion"/>
  </si>
  <si>
    <t>영남권 철학과 학부 재학생의 논문 및 에세이 발표를 통해 관련 지식에 대한 토론 진행</t>
    <phoneticPr fontId="3" type="noConversion"/>
  </si>
  <si>
    <t>학생과</t>
    <phoneticPr fontId="3" type="noConversion"/>
  </si>
  <si>
    <t>고교장애학생대상대학생활체험프로그램</t>
    <phoneticPr fontId="3" type="noConversion"/>
  </si>
  <si>
    <t>장애 고등학생이 대학생활을 원활히 체험할 수 있도록 우리대학 재학생이 장애 학생의 옆에서 도와주면서 프로그램 운영</t>
    <phoneticPr fontId="3" type="noConversion"/>
  </si>
  <si>
    <t>도서관 학술정보과</t>
    <phoneticPr fontId="3" type="noConversion"/>
  </si>
  <si>
    <t>도서관신입생이용교육</t>
    <phoneticPr fontId="3" type="noConversion"/>
  </si>
  <si>
    <t>학기초 학과 또는 신분별 맞춤교육으로 신입생에게 필요한 시설 및 자료 이용법 대면교육</t>
    <phoneticPr fontId="3" type="noConversion"/>
  </si>
  <si>
    <t>도서관 정보활용교육</t>
  </si>
  <si>
    <t>학기중 월 1회 대면 교육으로 리포트 및 논문 작성에 필요한 자료검색 전략 교육 등</t>
    <phoneticPr fontId="3" type="noConversion"/>
  </si>
  <si>
    <t>세부프로그램명</t>
    <phoneticPr fontId="3" type="noConversion"/>
  </si>
  <si>
    <t>참여학과</t>
    <phoneticPr fontId="3" type="noConversion"/>
  </si>
  <si>
    <t>예상 마일리지</t>
    <phoneticPr fontId="3" type="noConversion"/>
  </si>
  <si>
    <t>*유지/폐지/확대/통합
※ 통합시 비고란에 설명기재</t>
    <phoneticPr fontId="3" type="noConversion"/>
  </si>
  <si>
    <t>*세부 프로그램명이 인증 프로그램과 다를 경우 기재
※ 여러 개 프로그램 운영시 줄 추가 가능</t>
    <phoneticPr fontId="3" type="noConversion"/>
  </si>
  <si>
    <t>*제한이 있는경우 구체적인 학과기재</t>
    <phoneticPr fontId="3" type="noConversion"/>
  </si>
  <si>
    <t>1학년</t>
    <phoneticPr fontId="3" type="noConversion"/>
  </si>
  <si>
    <t>2학년</t>
  </si>
  <si>
    <t>3학년</t>
  </si>
  <si>
    <t>대학원생</t>
    <phoneticPr fontId="3" type="noConversion"/>
  </si>
  <si>
    <t>교원</t>
    <phoneticPr fontId="3" type="noConversion"/>
  </si>
  <si>
    <t>직원</t>
    <phoneticPr fontId="3" type="noConversion"/>
  </si>
  <si>
    <t>일반인</t>
    <phoneticPr fontId="3" type="noConversion"/>
  </si>
  <si>
    <t>1학기</t>
    <phoneticPr fontId="3" type="noConversion"/>
  </si>
  <si>
    <t>하계</t>
    <phoneticPr fontId="3" type="noConversion"/>
  </si>
  <si>
    <t>2학기</t>
    <phoneticPr fontId="3" type="noConversion"/>
  </si>
  <si>
    <t>동계</t>
    <phoneticPr fontId="3" type="noConversion"/>
  </si>
  <si>
    <t>예상시간</t>
    <phoneticPr fontId="3" type="noConversion"/>
  </si>
  <si>
    <t>*대학회계, 국립대학육성사업 지역혁신플랫폼사업 등</t>
    <phoneticPr fontId="3" type="noConversion"/>
  </si>
  <si>
    <t>운영부서
(학과)</t>
    <phoneticPr fontId="3" type="noConversion"/>
  </si>
  <si>
    <t>횟수</t>
    <phoneticPr fontId="3" type="noConversion"/>
  </si>
  <si>
    <r>
      <t xml:space="preserve">프로그램명
</t>
    </r>
    <r>
      <rPr>
        <b/>
        <sz val="8"/>
        <color rgb="FF0070C0"/>
        <rFont val="맑은 고딕"/>
        <family val="3"/>
        <charset val="129"/>
        <scheme val="minor"/>
      </rPr>
      <t>*프로그램의 명칭</t>
    </r>
    <phoneticPr fontId="3" type="noConversion"/>
  </si>
  <si>
    <r>
      <t xml:space="preserve">개요
</t>
    </r>
    <r>
      <rPr>
        <b/>
        <sz val="8"/>
        <color rgb="FF0070C0"/>
        <rFont val="맑은 고딕"/>
        <family val="3"/>
        <charset val="129"/>
        <scheme val="minor"/>
      </rPr>
      <t>프로그램의 개설 목적, 목표, 주요내용을 간략히 기술</t>
    </r>
    <phoneticPr fontId="3" type="noConversion"/>
  </si>
  <si>
    <r>
      <t xml:space="preserve">분야
</t>
    </r>
    <r>
      <rPr>
        <b/>
        <sz val="8"/>
        <color rgb="FF0070C0"/>
        <rFont val="맑은 고딕"/>
        <family val="3"/>
        <charset val="129"/>
        <scheme val="minor"/>
      </rPr>
      <t>학습역량강화지원/
진로심리상담지원
취창업지원/
인권강화지원</t>
    </r>
    <phoneticPr fontId="3" type="noConversion"/>
  </si>
  <si>
    <r>
      <t xml:space="preserve">구분2
</t>
    </r>
    <r>
      <rPr>
        <b/>
        <sz val="8"/>
        <color rgb="FF0070C0"/>
        <rFont val="맑은 고딕"/>
        <family val="3"/>
        <charset val="129"/>
        <scheme val="minor"/>
      </rPr>
      <t>*기본(매년정규프로그램)
*수시:수요나 요구에 의해 수시로 운영 프로그램</t>
    </r>
    <phoneticPr fontId="3" type="noConversion"/>
  </si>
  <si>
    <r>
      <t xml:space="preserve">활동유형
</t>
    </r>
    <r>
      <rPr>
        <b/>
        <sz val="8"/>
        <color theme="8"/>
        <rFont val="맑은 고딕"/>
        <family val="3"/>
        <charset val="129"/>
        <scheme val="minor"/>
      </rPr>
      <t>*교육형/연구형/탐방형/상담형/대회형/봉사형</t>
    </r>
    <phoneticPr fontId="3" type="noConversion"/>
  </si>
  <si>
    <r>
      <t xml:space="preserve">대표핵심역량
</t>
    </r>
    <r>
      <rPr>
        <b/>
        <sz val="8"/>
        <color rgb="FF0070C0"/>
        <rFont val="맑은 고딕"/>
        <family val="3"/>
        <charset val="129"/>
        <scheme val="minor"/>
      </rPr>
      <t>*프로그램에서 목표로 하는 핵심역량
(3번시트 참조)</t>
    </r>
    <phoneticPr fontId="3" type="noConversion"/>
  </si>
  <si>
    <r>
      <t>대상학년</t>
    </r>
    <r>
      <rPr>
        <b/>
        <sz val="8"/>
        <color theme="8"/>
        <rFont val="맑은 고딕"/>
        <family val="3"/>
        <charset val="129"/>
        <scheme val="minor"/>
      </rPr>
      <t>(체크)</t>
    </r>
    <r>
      <rPr>
        <b/>
        <sz val="9"/>
        <rFont val="맑은 고딕"/>
        <family val="3"/>
        <charset val="129"/>
        <scheme val="minor"/>
      </rPr>
      <t xml:space="preserve">
</t>
    </r>
    <phoneticPr fontId="3" type="noConversion"/>
  </si>
  <si>
    <r>
      <t>기타참여대상</t>
    </r>
    <r>
      <rPr>
        <b/>
        <sz val="8"/>
        <color theme="8"/>
        <rFont val="맑은 고딕"/>
        <family val="3"/>
        <charset val="129"/>
        <scheme val="minor"/>
      </rPr>
      <t>(체크)</t>
    </r>
    <phoneticPr fontId="3" type="noConversion"/>
  </si>
  <si>
    <r>
      <t xml:space="preserve">모집인원
</t>
    </r>
    <r>
      <rPr>
        <b/>
        <sz val="8"/>
        <color rgb="FF0070C0"/>
        <rFont val="맑은 고딕"/>
        <family val="3"/>
        <charset val="129"/>
        <scheme val="minor"/>
      </rPr>
      <t>*예상모집인원
(회차별)</t>
    </r>
    <phoneticPr fontId="3" type="noConversion"/>
  </si>
  <si>
    <r>
      <t>예정 운영시기</t>
    </r>
    <r>
      <rPr>
        <b/>
        <sz val="8"/>
        <color theme="8"/>
        <rFont val="맑은 고딕"/>
        <family val="3"/>
        <charset val="129"/>
        <scheme val="minor"/>
      </rPr>
      <t>(체크)</t>
    </r>
    <phoneticPr fontId="3" type="noConversion"/>
  </si>
  <si>
    <r>
      <t xml:space="preserve">이수예정시간
</t>
    </r>
    <r>
      <rPr>
        <b/>
        <sz val="8"/>
        <color rgb="FF0070C0"/>
        <rFont val="맑은 고딕"/>
        <family val="3"/>
        <charset val="129"/>
        <scheme val="minor"/>
      </rPr>
      <t>* 프로그램 이수에 소요되는 예상시간</t>
    </r>
    <phoneticPr fontId="3" type="noConversion"/>
  </si>
  <si>
    <r>
      <t xml:space="preserve">운영장소
</t>
    </r>
    <r>
      <rPr>
        <b/>
        <sz val="8"/>
        <color rgb="FF0070C0"/>
        <rFont val="맑은 고딕"/>
        <family val="3"/>
        <charset val="129"/>
        <scheme val="minor"/>
      </rPr>
      <t>*프로그램이 진행되는 장소</t>
    </r>
    <phoneticPr fontId="3" type="noConversion"/>
  </si>
  <si>
    <r>
      <t xml:space="preserve">비교과인증 등록 예정
</t>
    </r>
    <r>
      <rPr>
        <b/>
        <sz val="8"/>
        <color rgb="FF0070C0"/>
        <rFont val="맑은 고딕"/>
        <family val="3"/>
        <charset val="129"/>
        <scheme val="minor"/>
      </rPr>
      <t>*예/아니오
기등록프로그램은 1번시트에기재</t>
    </r>
    <phoneticPr fontId="3" type="noConversion"/>
  </si>
  <si>
    <r>
      <t xml:space="preserve">비고
</t>
    </r>
    <r>
      <rPr>
        <b/>
        <sz val="8"/>
        <color theme="8"/>
        <rFont val="맑은 고딕"/>
        <family val="3"/>
        <charset val="129"/>
        <scheme val="minor"/>
      </rPr>
      <t>*비교과인증 등록 에정 아니오인경우 운영 불가한 경우 사유 기재</t>
    </r>
    <phoneticPr fontId="3" type="noConversion"/>
  </si>
  <si>
    <r>
      <t xml:space="preserve">4학년
</t>
    </r>
    <r>
      <rPr>
        <b/>
        <sz val="8"/>
        <rFont val="맑은 고딕"/>
        <family val="3"/>
        <charset val="129"/>
        <scheme val="minor"/>
      </rPr>
      <t>(5학년
포함)</t>
    </r>
    <phoneticPr fontId="3" type="noConversion"/>
  </si>
  <si>
    <r>
      <t xml:space="preserve">재원
</t>
    </r>
    <r>
      <rPr>
        <b/>
        <sz val="8"/>
        <color theme="8"/>
        <rFont val="맑은 고딕"/>
        <family val="3"/>
        <charset val="129"/>
        <scheme val="minor"/>
      </rPr>
      <t>*대학회계, 국립대학육성사업 등</t>
    </r>
    <phoneticPr fontId="3" type="noConversion"/>
  </si>
  <si>
    <r>
      <t xml:space="preserve">모집(접수)방법
</t>
    </r>
    <r>
      <rPr>
        <b/>
        <sz val="8"/>
        <color rgb="FF0070C0"/>
        <rFont val="맑은 고딕"/>
        <family val="3"/>
        <charset val="129"/>
        <scheme val="minor"/>
      </rPr>
      <t>*이뤄드림시스템 권장</t>
    </r>
    <phoneticPr fontId="3" type="noConversion"/>
  </si>
  <si>
    <t>담당자이름
(내선)</t>
    <phoneticPr fontId="3" type="noConversion"/>
  </si>
  <si>
    <r>
      <t>교과연계</t>
    </r>
    <r>
      <rPr>
        <b/>
        <sz val="10"/>
        <color theme="4"/>
        <rFont val="맑은 고딕"/>
        <family val="3"/>
        <charset val="129"/>
        <scheme val="major"/>
      </rPr>
      <t>(체크)</t>
    </r>
    <phoneticPr fontId="3" type="noConversion"/>
  </si>
  <si>
    <t>*교과연계비교과프로그램</t>
    <phoneticPr fontId="3" type="noConversion"/>
  </si>
  <si>
    <r>
      <t>교과연계</t>
    </r>
    <r>
      <rPr>
        <b/>
        <sz val="10"/>
        <color theme="4"/>
        <rFont val="맑은 고딕"/>
        <family val="3"/>
        <charset val="129"/>
        <scheme val="major"/>
      </rPr>
      <t>(체크)
*교과연계비교과프로그램</t>
    </r>
    <phoneticPr fontId="3" type="noConversion"/>
  </si>
  <si>
    <t>인권침해 상황에 대한 민감성 및 타인의 고통에 대한 공감 역랑강화</t>
    <phoneticPr fontId="3" type="noConversion"/>
  </si>
  <si>
    <t>인권사에서 중요한 의미가 있는 인권현장
탐방을 통한 인권의식 학습 및 인권가치 실현 기회제공</t>
    <phoneticPr fontId="3" type="noConversion"/>
  </si>
  <si>
    <t>인권·성평등 콘텐츠 공모전</t>
    <phoneticPr fontId="3" type="noConversion"/>
  </si>
  <si>
    <t>인권·성평등을 주제로 영상, 포스터 등 콘텐츠 공모</t>
  </si>
  <si>
    <t xml:space="preserve">대학생활에 대한 또래상담을 통해 리더십, 공감능력 함양 프로그램 </t>
  </si>
  <si>
    <t>우울, 정신건강, 자살사고 등 정신건강 검사 및 상담</t>
  </si>
  <si>
    <t>대인관계, 의사소통, 매체상담 등 집단상담</t>
  </si>
  <si>
    <t>상담접근성 제고 및 상담서비스 확대를 위한 찾아가는 상담</t>
  </si>
  <si>
    <t>on-offline멘토링</t>
    <phoneticPr fontId="3" type="noConversion"/>
  </si>
  <si>
    <t>사회경험 및 직무이해를 돕기 위해 기업 임직원과 함께하는 온오프라인 멘토링</t>
    <phoneticPr fontId="3" type="noConversion"/>
  </si>
  <si>
    <t>자기이해를 바탕으로 개인의 심리적 문제 해결 및 정신건강 증진을 위한 개별상담</t>
  </si>
  <si>
    <t>자기주도적 인재양성을 위한 심리성장 프로그램</t>
  </si>
  <si>
    <t>다문화진흥센터</t>
    <phoneticPr fontId="3" type="noConversion"/>
  </si>
  <si>
    <t>유학생진로취업지원프로그램</t>
    <phoneticPr fontId="3" type="noConversion"/>
  </si>
  <si>
    <t>사회통합프로그램 수업 운영으로 유학생의 실질적인 진로 취업 역량 강화</t>
    <phoneticPr fontId="3" type="noConversion"/>
  </si>
  <si>
    <t>대학일자리플러스센터</t>
    <phoneticPr fontId="3" type="noConversion"/>
  </si>
  <si>
    <t>직무부트캠프</t>
    <phoneticPr fontId="3" type="noConversion"/>
  </si>
  <si>
    <t>참여자들의 취업역량강화를 위한 현직자 직무프로젝트 운영</t>
  </si>
  <si>
    <t>일어일문학과</t>
    <phoneticPr fontId="3" type="noConversion"/>
  </si>
  <si>
    <t>일어일문학과 취업특강</t>
    <phoneticPr fontId="3" type="noConversion"/>
  </si>
  <si>
    <t>졸업생 선배를 초청하여 취업특강 및 질의응답</t>
    <phoneticPr fontId="3" type="noConversion"/>
  </si>
  <si>
    <t>NCS기반역량강화교육</t>
    <phoneticPr fontId="3" type="noConversion"/>
  </si>
  <si>
    <t>UGRIC 초청강연</t>
    <phoneticPr fontId="3" type="noConversion"/>
  </si>
  <si>
    <t>UGRIC 연합 구축을 위한 초청 강연</t>
    <phoneticPr fontId="3" type="noConversion"/>
  </si>
  <si>
    <t>글로컬인재교육원(교수학습센터)</t>
    <phoneticPr fontId="3" type="noConversion"/>
  </si>
  <si>
    <t>글로컬인재교육원(학생성공지원센터)</t>
    <phoneticPr fontId="3" type="noConversion"/>
  </si>
  <si>
    <t>교육개선학생패널(SPEI)</t>
    <phoneticPr fontId="3" type="noConversion"/>
  </si>
  <si>
    <t>학생 중심 교육 개선을 위한 학생 패널(SPEI) 구성 및 운영</t>
    <phoneticPr fontId="3" type="noConversion"/>
  </si>
  <si>
    <t>국제협력본부 국제협력실</t>
    <phoneticPr fontId="3" type="noConversion"/>
  </si>
  <si>
    <t>재학생을 대상으로 기초과목의 학습 수준 진단</t>
    <phoneticPr fontId="3" type="noConversion"/>
  </si>
  <si>
    <t>대학간공동프로그램</t>
    <phoneticPr fontId="3" type="noConversion"/>
  </si>
  <si>
    <t>국립대학육성사업 컨소시엄 네트워크 구축 및 운영</t>
    <phoneticPr fontId="3" type="noConversion"/>
  </si>
  <si>
    <t>동남권이모빌리티페스티벌</t>
    <phoneticPr fontId="3" type="noConversion"/>
  </si>
  <si>
    <t>디지털리터러시 역량도구를 활용한 진단</t>
    <phoneticPr fontId="3" type="noConversion"/>
  </si>
  <si>
    <t>모자이크기록프로젝트</t>
    <phoneticPr fontId="3" type="noConversion"/>
  </si>
  <si>
    <t>우리지역의 3.15민주항쟁에 참여한 여성 이야기를 듣고 인터뷰 진행 및 기록과제 수행</t>
    <phoneticPr fontId="3" type="noConversion"/>
  </si>
  <si>
    <t>미국명문대학탐방</t>
    <phoneticPr fontId="3" type="noConversion"/>
  </si>
  <si>
    <t>해외명문대학교 탐방 프로그램을 통한 인재양성 글로벌 연수</t>
    <phoneticPr fontId="3" type="noConversion"/>
  </si>
  <si>
    <t>비교과스마트제조교육</t>
    <phoneticPr fontId="3" type="noConversion"/>
  </si>
  <si>
    <t>스마트제조교육을 통해 스마트제조 산업에 필요한 전문인력 양성</t>
  </si>
  <si>
    <t>신입생세미나</t>
    <phoneticPr fontId="3" type="noConversion"/>
  </si>
  <si>
    <t>입학 후 신입생들이 대학생활에 실질적으로 필요한 정보를 얻을 수 있는 세미나 등 운영</t>
    <phoneticPr fontId="3" type="noConversion"/>
  </si>
  <si>
    <t>역량UP프로젝트</t>
    <phoneticPr fontId="3" type="noConversion"/>
  </si>
  <si>
    <t>자기주도적 학생 역량 향상 문화 조성을 위한 다양한 프로그램 운영</t>
    <phoneticPr fontId="3" type="noConversion"/>
  </si>
  <si>
    <t>외국인한국인 학우들 간의 스터디 및 교류 프로그램</t>
    <phoneticPr fontId="3" type="noConversion"/>
  </si>
  <si>
    <t>내·외국인 학생 간 교류 활성화를 통한 유학생 어학능력 향상 프로그램</t>
    <phoneticPr fontId="3" type="noConversion"/>
  </si>
  <si>
    <t>원전에너지특화프로그램</t>
    <phoneticPr fontId="3" type="noConversion"/>
  </si>
  <si>
    <t>원전 산업 전문가 초청을 통한 전문지식 전달</t>
    <phoneticPr fontId="3" type="noConversion"/>
  </si>
  <si>
    <t>웹프로그래밍_JAVA기초과정(4주)</t>
    <phoneticPr fontId="3" type="noConversion"/>
  </si>
  <si>
    <t>1개월간 웹프로그래밍 집중 코딩 교육 프로그램 운영</t>
    <phoneticPr fontId="3" type="noConversion"/>
  </si>
  <si>
    <t>일어일문학과 전공키워드림</t>
    <phoneticPr fontId="3" type="noConversion"/>
  </si>
  <si>
    <t>교과연계 교수-학생의 유대관계 형성 및 전공학습 강화 운영</t>
    <phoneticPr fontId="3" type="noConversion"/>
  </si>
  <si>
    <t>장애인식개선교육</t>
    <phoneticPr fontId="3" type="noConversion"/>
  </si>
  <si>
    <t>장애인식개선교육을 통한 학생의 공동체의식 강화 도모</t>
    <phoneticPr fontId="3" type="noConversion"/>
  </si>
  <si>
    <t>청출어람전공키워드림</t>
    <phoneticPr fontId="3" type="noConversion"/>
  </si>
  <si>
    <t>학습공모전</t>
    <phoneticPr fontId="3" type="noConversion"/>
  </si>
  <si>
    <t>신입생의 대학생활 적응 지원을 위한 선배들의 멘토 지원 및 타학과  교류 기회 제공</t>
    <phoneticPr fontId="3" type="noConversion"/>
  </si>
  <si>
    <r>
      <t>[작성방법]
1. 학내 비교과프로그램의 2025학년도  운영 계획 기재</t>
    </r>
    <r>
      <rPr>
        <b/>
        <sz val="14"/>
        <color rgb="FFFF0000"/>
        <rFont val="맑은 고딕"/>
        <family val="3"/>
        <charset val="129"/>
        <scheme val="minor"/>
      </rPr>
      <t xml:space="preserve">(기등록된 비교과인증 대상 프로그램)
 - 폐지 또는 통합되는 프로그램은 프로그램 변경(제외) 신청서 제출
</t>
    </r>
    <r>
      <rPr>
        <b/>
        <sz val="14"/>
        <rFont val="맑은 고딕"/>
        <family val="3"/>
        <charset val="129"/>
        <scheme val="minor"/>
      </rPr>
      <t>2.</t>
    </r>
    <r>
      <rPr>
        <b/>
        <sz val="14"/>
        <color rgb="FF0000FF"/>
        <rFont val="맑은 고딕"/>
        <family val="3"/>
        <charset val="129"/>
        <scheme val="minor"/>
      </rPr>
      <t xml:space="preserve"> 신규 또는 비교과인증에 등록되지 않은 비교과 프로그램은 2번시트에 기재</t>
    </r>
    <r>
      <rPr>
        <b/>
        <sz val="14"/>
        <rFont val="맑은 고딕"/>
        <family val="3"/>
        <charset val="129"/>
        <scheme val="minor"/>
      </rPr>
      <t xml:space="preserve">
3. 조사된 결과는 2025학년도 연간 비교과프로그램 운영계획 수립, 비교과가이드북 제작자료로 활용</t>
    </r>
    <phoneticPr fontId="3" type="noConversion"/>
  </si>
  <si>
    <t>2025학년도 운영 계획</t>
    <phoneticPr fontId="3" type="noConversion"/>
  </si>
  <si>
    <t>2025학년도 운영방향</t>
    <phoneticPr fontId="3" type="noConversion"/>
  </si>
  <si>
    <r>
      <rPr>
        <b/>
        <sz val="12"/>
        <color rgb="FFFF0000"/>
        <rFont val="맑은 고딕"/>
        <family val="3"/>
        <charset val="129"/>
        <scheme val="minor"/>
      </rPr>
      <t>[작성방법]</t>
    </r>
    <r>
      <rPr>
        <sz val="12"/>
        <rFont val="맑은 고딕"/>
        <family val="3"/>
        <charset val="129"/>
        <scheme val="minor"/>
      </rPr>
      <t xml:space="preserve">
</t>
    </r>
    <r>
      <rPr>
        <b/>
        <sz val="12"/>
        <rFont val="맑은 고딕"/>
        <family val="3"/>
        <charset val="129"/>
        <scheme val="minor"/>
      </rPr>
      <t>1. 학내에서 진행하는 비교과프로그램*의 2025학년도 운영 계획 기재(비교과인증에 기 등록된 프로그램은 1번 시트에 기재)
  - *</t>
    </r>
    <r>
      <rPr>
        <b/>
        <sz val="12"/>
        <color rgb="FF0000CC"/>
        <rFont val="맑은 고딕"/>
        <family val="3"/>
        <charset val="129"/>
        <scheme val="minor"/>
      </rPr>
      <t>비교과 프로그램: 학점을 부여하지 않는 학생 참여 프로그램</t>
    </r>
    <r>
      <rPr>
        <sz val="12"/>
        <rFont val="맑은 고딕"/>
        <family val="3"/>
        <charset val="129"/>
        <scheme val="minor"/>
      </rPr>
      <t xml:space="preserve">
</t>
    </r>
    <r>
      <rPr>
        <b/>
        <sz val="12"/>
        <rFont val="맑은 고딕"/>
        <family val="3"/>
        <charset val="129"/>
        <scheme val="minor"/>
      </rPr>
      <t>2. 학내 부서 및 학과에서 주관하며,</t>
    </r>
    <r>
      <rPr>
        <b/>
        <u/>
        <sz val="12"/>
        <rFont val="맑은 고딕"/>
        <family val="3"/>
        <charset val="129"/>
        <scheme val="minor"/>
      </rPr>
      <t xml:space="preserve"> 학점을 부여하지 않는 모든 학생 참여 활동 기재(학술대회, 팀활동, 교육, 탐방, 봉사, 홍보활동, 상담, 경진대회, 공모전, 등)</t>
    </r>
    <r>
      <rPr>
        <b/>
        <sz val="12"/>
        <rFont val="맑은 고딕"/>
        <family val="3"/>
        <charset val="129"/>
        <scheme val="minor"/>
      </rPr>
      <t xml:space="preserve"> 단, 학생회, 동아리, 단순근로 제외
</t>
    </r>
    <r>
      <rPr>
        <b/>
        <sz val="12"/>
        <color rgb="FF0000FF"/>
        <rFont val="맑은 고딕"/>
        <family val="3"/>
        <charset val="129"/>
        <scheme val="minor"/>
      </rPr>
      <t xml:space="preserve">  - 학과에서 진행되는 비교과활동 중 교육혁신원의 [청출어람]으로 지원받아 실적이 관리되는 프로그램은 미기재
</t>
    </r>
    <r>
      <rPr>
        <b/>
        <sz val="12"/>
        <rFont val="맑은 고딕"/>
        <family val="3"/>
        <charset val="129"/>
        <scheme val="minor"/>
      </rPr>
      <t>3. 조사된 자료는 2025학년도 연간 비교과프로그램 운영계획 수립 참고 자료, 비교과가이드북 제작자료로 활용 될 예정</t>
    </r>
    <phoneticPr fontId="3" type="noConversion"/>
  </si>
  <si>
    <t>서식2-1. 2025학년도 비교과프로그램 운영 계획(비교과인증)</t>
    <phoneticPr fontId="3" type="noConversion"/>
  </si>
  <si>
    <r>
      <rPr>
        <b/>
        <sz val="28"/>
        <rFont val="맑은 고딕"/>
        <family val="3"/>
        <charset val="129"/>
        <scheme val="minor"/>
      </rPr>
      <t>서식2-2. 2025학년도 비교과</t>
    </r>
    <r>
      <rPr>
        <b/>
        <sz val="28"/>
        <color theme="1"/>
        <rFont val="맑은 고딕"/>
        <family val="3"/>
        <charset val="129"/>
        <scheme val="minor"/>
      </rPr>
      <t xml:space="preserve"> 프로그램 운영 계획(신규 및 미등록 프로그램)</t>
    </r>
    <phoneticPr fontId="3" type="noConversion"/>
  </si>
  <si>
    <t>사림아너스학부</t>
    <phoneticPr fontId="3" type="noConversion"/>
  </si>
  <si>
    <t>학습역량강화지원</t>
    <phoneticPr fontId="3" type="noConversion"/>
  </si>
  <si>
    <t>기본</t>
    <phoneticPr fontId="3" type="noConversion"/>
  </si>
  <si>
    <t>O</t>
    <phoneticPr fontId="3" type="noConversion"/>
  </si>
  <si>
    <t>이뤄드림시스템</t>
    <phoneticPr fontId="3" type="noConversion"/>
  </si>
  <si>
    <t>안지원
(3050)</t>
    <phoneticPr fontId="3" type="noConversion"/>
  </si>
  <si>
    <t>예</t>
    <phoneticPr fontId="3" type="noConversion"/>
  </si>
  <si>
    <t>교육형</t>
    <phoneticPr fontId="3" type="noConversion"/>
  </si>
  <si>
    <t>국제교육관 101</t>
    <phoneticPr fontId="3" type="noConversion"/>
  </si>
  <si>
    <t>글로벌역량/의사소통역량</t>
    <phoneticPr fontId="3" type="noConversion"/>
  </si>
  <si>
    <t>사림아너스 "글로벌"</t>
    <phoneticPr fontId="3" type="noConversion"/>
  </si>
  <si>
    <t>학생들의 교환학생 및 유학준비를 위한 비교과 프로그램/ 글로벌역량 및 의사소통 역량강화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</si>
</sst>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2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10"/>
      <name val="돋움"/>
      <family val="3"/>
      <charset val="129"/>
    </font>
    <font>
      <sz val="10"/>
      <name val="맑은 고딕"/>
      <family val="2"/>
      <charset val="129"/>
      <scheme val="minor"/>
    </font>
    <font>
      <sz val="10"/>
      <name val="HY중고딕"/>
      <family val="1"/>
      <charset val="129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rgb="FF0070C0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rgb="FF0000CC"/>
      <name val="맑은 고딕"/>
      <family val="3"/>
      <charset val="129"/>
      <scheme val="minor"/>
    </font>
    <font>
      <b/>
      <u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2"/>
      <color rgb="FF0000FF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color rgb="FF0070C0"/>
      <name val="맑은 고딕"/>
      <family val="3"/>
      <charset val="129"/>
      <scheme val="minor"/>
    </font>
    <font>
      <b/>
      <sz val="8"/>
      <color theme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4"/>
      <color theme="0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inor"/>
    </font>
    <font>
      <b/>
      <sz val="10"/>
      <color theme="4"/>
      <name val="맑은 고딕"/>
      <family val="3"/>
      <charset val="129"/>
      <scheme val="major"/>
    </font>
    <font>
      <sz val="10"/>
      <color rgb="FF000000"/>
      <name val="휴먼고딕"/>
      <charset val="129"/>
    </font>
    <font>
      <sz val="10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 shrinkToFit="1"/>
    </xf>
    <xf numFmtId="0" fontId="5" fillId="0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 shrinkToFit="1"/>
    </xf>
    <xf numFmtId="0" fontId="7" fillId="0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 shrinkToFit="1"/>
    </xf>
    <xf numFmtId="0" fontId="6" fillId="0" borderId="1" xfId="0" applyFont="1" applyFill="1" applyBorder="1" applyAlignment="1">
      <alignment horizontal="left" vertical="center" wrapText="1" shrinkToFit="1"/>
    </xf>
    <xf numFmtId="0" fontId="6" fillId="0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9" fillId="0" borderId="1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6" borderId="0" xfId="0" applyFont="1" applyFill="1">
      <alignment vertical="center"/>
    </xf>
    <xf numFmtId="0" fontId="9" fillId="6" borderId="0" xfId="0" applyFont="1" applyFill="1" applyAlignment="1">
      <alignment horizontal="center" vertical="center" wrapText="1"/>
    </xf>
    <xf numFmtId="0" fontId="11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 shrinkToFit="1"/>
    </xf>
    <xf numFmtId="0" fontId="12" fillId="0" borderId="0" xfId="0" applyFont="1" applyAlignment="1">
      <alignment horizontal="left" vertical="center" wrapText="1" shrinkToFi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9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>
      <alignment vertical="center"/>
    </xf>
    <xf numFmtId="0" fontId="9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top" wrapText="1"/>
    </xf>
    <xf numFmtId="0" fontId="13" fillId="8" borderId="1" xfId="0" applyFont="1" applyFill="1" applyBorder="1" applyAlignment="1">
      <alignment horizontal="center" vertical="top" wrapText="1" shrinkToFit="1"/>
    </xf>
    <xf numFmtId="0" fontId="13" fillId="9" borderId="1" xfId="0" applyFont="1" applyFill="1" applyBorder="1" applyAlignment="1">
      <alignment horizontal="center" vertical="top" wrapText="1"/>
    </xf>
    <xf numFmtId="49" fontId="13" fillId="9" borderId="1" xfId="0" applyNumberFormat="1" applyFont="1" applyFill="1" applyBorder="1" applyAlignment="1">
      <alignment horizontal="center" vertical="top" wrapText="1"/>
    </xf>
    <xf numFmtId="0" fontId="13" fillId="9" borderId="1" xfId="0" applyFont="1" applyFill="1" applyBorder="1" applyAlignment="1">
      <alignment horizontal="center" vertical="top" wrapText="1" shrinkToFit="1"/>
    </xf>
    <xf numFmtId="0" fontId="5" fillId="0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 shrinkToFi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>
      <alignment vertical="center"/>
    </xf>
    <xf numFmtId="0" fontId="6" fillId="0" borderId="0" xfId="0" applyFont="1">
      <alignment vertical="center"/>
    </xf>
    <xf numFmtId="0" fontId="5" fillId="0" borderId="5" xfId="0" applyFont="1" applyFill="1" applyBorder="1" applyAlignment="1">
      <alignment horizontal="left" vertical="center" wrapText="1" shrinkToFit="1"/>
    </xf>
    <xf numFmtId="0" fontId="5" fillId="0" borderId="1" xfId="0" applyFont="1" applyFill="1" applyBorder="1">
      <alignment vertical="center"/>
    </xf>
    <xf numFmtId="0" fontId="5" fillId="0" borderId="5" xfId="0" applyFont="1" applyFill="1" applyBorder="1" applyAlignment="1">
      <alignment vertical="center" wrapText="1" shrinkToFit="1"/>
    </xf>
    <xf numFmtId="0" fontId="6" fillId="0" borderId="5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 shrinkToFit="1"/>
    </xf>
    <xf numFmtId="49" fontId="6" fillId="0" borderId="1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6" fillId="9" borderId="7" xfId="0" applyFont="1" applyFill="1" applyBorder="1" applyAlignment="1">
      <alignment horizontal="center" vertical="top" wrapText="1"/>
    </xf>
    <xf numFmtId="0" fontId="28" fillId="9" borderId="2" xfId="0" applyFont="1" applyFill="1" applyBorder="1" applyAlignment="1">
      <alignment horizontal="center" vertical="top" wrapText="1"/>
    </xf>
    <xf numFmtId="0" fontId="26" fillId="9" borderId="1" xfId="0" applyFont="1" applyFill="1" applyBorder="1" applyAlignment="1">
      <alignment vertical="top" wrapText="1"/>
    </xf>
    <xf numFmtId="0" fontId="26" fillId="9" borderId="1" xfId="0" applyFont="1" applyFill="1" applyBorder="1" applyAlignment="1">
      <alignment horizontal="center" vertical="top" wrapText="1"/>
    </xf>
    <xf numFmtId="0" fontId="26" fillId="9" borderId="1" xfId="0" applyFont="1" applyFill="1" applyBorder="1" applyAlignment="1">
      <alignment vertical="top" wrapText="1" shrinkToFit="1"/>
    </xf>
    <xf numFmtId="0" fontId="26" fillId="9" borderId="1" xfId="0" applyFont="1" applyFill="1" applyBorder="1" applyAlignment="1">
      <alignment horizontal="center" vertical="top" wrapText="1" shrinkToFit="1"/>
    </xf>
    <xf numFmtId="0" fontId="30" fillId="8" borderId="1" xfId="0" applyFont="1" applyFill="1" applyBorder="1" applyAlignment="1">
      <alignment horizontal="center" vertical="center" wrapText="1" shrinkToFit="1"/>
    </xf>
    <xf numFmtId="0" fontId="30" fillId="9" borderId="1" xfId="0" applyFont="1" applyFill="1" applyBorder="1" applyAlignment="1">
      <alignment horizontal="center" vertical="center" wrapText="1" shrinkToFit="1"/>
    </xf>
    <xf numFmtId="0" fontId="30" fillId="9" borderId="1" xfId="0" applyFont="1" applyFill="1" applyBorder="1" applyAlignment="1">
      <alignment horizontal="center" vertical="center" wrapText="1"/>
    </xf>
    <xf numFmtId="49" fontId="30" fillId="9" borderId="1" xfId="0" applyNumberFormat="1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justify" vertical="center"/>
    </xf>
    <xf numFmtId="49" fontId="26" fillId="9" borderId="1" xfId="0" applyNumberFormat="1" applyFont="1" applyFill="1" applyBorder="1" applyAlignment="1">
      <alignment horizontal="center" vertical="top" wrapText="1"/>
    </xf>
    <xf numFmtId="0" fontId="23" fillId="0" borderId="0" xfId="0" applyFont="1" applyBorder="1" applyAlignment="1">
      <alignment horizontal="left" vertical="center" wrapText="1" shrinkToFit="1"/>
    </xf>
    <xf numFmtId="0" fontId="31" fillId="7" borderId="1" xfId="0" applyFont="1" applyFill="1" applyBorder="1" applyAlignment="1">
      <alignment horizontal="center" vertical="center"/>
    </xf>
    <xf numFmtId="0" fontId="26" fillId="9" borderId="3" xfId="0" applyFont="1" applyFill="1" applyBorder="1" applyAlignment="1">
      <alignment horizontal="center" vertical="top" wrapText="1"/>
    </xf>
    <xf numFmtId="0" fontId="26" fillId="9" borderId="4" xfId="0" applyFont="1" applyFill="1" applyBorder="1" applyAlignment="1">
      <alignment horizontal="center" vertical="top" wrapText="1"/>
    </xf>
    <xf numFmtId="0" fontId="26" fillId="9" borderId="5" xfId="0" applyFont="1" applyFill="1" applyBorder="1" applyAlignment="1">
      <alignment horizontal="center" vertical="top" wrapText="1"/>
    </xf>
    <xf numFmtId="0" fontId="26" fillId="9" borderId="1" xfId="0" applyFont="1" applyFill="1" applyBorder="1" applyAlignment="1">
      <alignment horizontal="center" vertical="top" wrapText="1" shrinkToFit="1"/>
    </xf>
    <xf numFmtId="49" fontId="30" fillId="9" borderId="1" xfId="0" applyNumberFormat="1" applyFont="1" applyFill="1" applyBorder="1" applyAlignment="1">
      <alignment horizontal="center" vertical="center" wrapText="1"/>
    </xf>
    <xf numFmtId="49" fontId="26" fillId="9" borderId="7" xfId="0" applyNumberFormat="1" applyFont="1" applyFill="1" applyBorder="1" applyAlignment="1">
      <alignment horizontal="center" vertical="top" wrapText="1"/>
    </xf>
    <xf numFmtId="49" fontId="26" fillId="9" borderId="2" xfId="0" applyNumberFormat="1" applyFont="1" applyFill="1" applyBorder="1" applyAlignment="1">
      <alignment horizontal="center" vertical="top" wrapText="1"/>
    </xf>
    <xf numFmtId="0" fontId="3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 shrinkToFit="1"/>
    </xf>
    <xf numFmtId="0" fontId="5" fillId="3" borderId="2" xfId="0" applyFont="1" applyFill="1" applyBorder="1" applyAlignment="1">
      <alignment horizontal="center" vertical="center" wrapText="1" shrinkToFit="1"/>
    </xf>
    <xf numFmtId="0" fontId="14" fillId="0" borderId="6" xfId="0" applyFont="1" applyBorder="1" applyAlignment="1">
      <alignment horizontal="left" vertical="center" wrapText="1" shrinkToFit="1"/>
    </xf>
    <xf numFmtId="0" fontId="30" fillId="9" borderId="7" xfId="0" applyFont="1" applyFill="1" applyBorder="1" applyAlignment="1">
      <alignment horizontal="center" vertical="top" wrapText="1" shrinkToFit="1"/>
    </xf>
    <xf numFmtId="0" fontId="30" fillId="9" borderId="2" xfId="0" applyFont="1" applyFill="1" applyBorder="1" applyAlignment="1">
      <alignment horizontal="center" vertical="top" wrapText="1" shrinkToFit="1"/>
    </xf>
    <xf numFmtId="0" fontId="20" fillId="9" borderId="1" xfId="0" applyFont="1" applyFill="1" applyBorder="1" applyAlignment="1">
      <alignment horizontal="center" vertical="top" wrapText="1"/>
    </xf>
    <xf numFmtId="0" fontId="26" fillId="9" borderId="1" xfId="0" applyFont="1" applyFill="1" applyBorder="1" applyAlignment="1">
      <alignment horizontal="center" vertical="top" wrapText="1"/>
    </xf>
    <xf numFmtId="0" fontId="26" fillId="9" borderId="7" xfId="0" applyFont="1" applyFill="1" applyBorder="1" applyAlignment="1">
      <alignment horizontal="center" vertical="top" wrapText="1"/>
    </xf>
    <xf numFmtId="0" fontId="26" fillId="9" borderId="2" xfId="0" applyFont="1" applyFill="1" applyBorder="1" applyAlignment="1">
      <alignment horizontal="center" vertical="top" wrapText="1"/>
    </xf>
  </cellXfs>
  <cellStyles count="2">
    <cellStyle name="쉼표 [0]" xfId="1" builtinId="6"/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/&#52285;&#50896;&#45824;&#54617;&#44368;_ACE+&#49324;&#50629;&#45800;/4&#52264;&#45380;&#46020;%20&#52628;&#51652;&#49324;&#50629;/4&#52264;&#45380;&#46020;%20&#48708;&#44368;&#44284;&#51064;&#51613;&#51228;/2018&#54617;&#45380;&#46020;%20&#48708;&#44368;&#44284;&#51064;&#51613;%20&#50868;&#50689;&#44228;&#54925;/2018-&#46041;&#44228;%20&#51088;&#52404;&#51216;&#44160;&#44228;&#54925;/2018&#54617;&#45380;&#46020;%20&#48708;&#44368;&#44284;%20&#51064;&#51613;%20&#54532;&#47196;&#44536;&#47016;%20&#54788;&#54889;(&#52509;&#44292;)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296D-DFD5-4EED-B9B5-3CBAA01FCBDC}">
  <sheetPr>
    <pageSetUpPr fitToPage="1"/>
  </sheetPr>
  <dimension ref="A1:AZ86"/>
  <sheetViews>
    <sheetView zoomScale="85" zoomScaleNormal="85" workbookViewId="0">
      <pane ySplit="5" topLeftCell="A12" activePane="bottomLeft" state="frozen"/>
      <selection pane="bottomLeft" activeCell="D6" sqref="D6"/>
    </sheetView>
  </sheetViews>
  <sheetFormatPr defaultColWidth="9" defaultRowHeight="16.5" x14ac:dyDescent="0.3"/>
  <cols>
    <col min="1" max="1" width="5.125" style="31" customWidth="1"/>
    <col min="2" max="3" width="7.375" style="31" customWidth="1"/>
    <col min="4" max="4" width="8.125" style="32" customWidth="1"/>
    <col min="5" max="5" width="17.375" style="32" customWidth="1"/>
    <col min="6" max="6" width="26.875" style="33" customWidth="1"/>
    <col min="7" max="7" width="45.5" style="34" customWidth="1"/>
    <col min="8" max="8" width="10.125" style="35" customWidth="1"/>
    <col min="9" max="14" width="6" style="35" customWidth="1"/>
    <col min="15" max="15" width="25.625" style="31" customWidth="1"/>
    <col min="16" max="16" width="21.375" style="31" customWidth="1"/>
    <col min="17" max="17" width="8.5" style="31" customWidth="1"/>
    <col min="18" max="18" width="13.5" style="31" bestFit="1" customWidth="1"/>
    <col min="19" max="26" width="4.75" style="31" customWidth="1"/>
    <col min="27" max="27" width="14.25" style="31" bestFit="1" customWidth="1"/>
    <col min="28" max="28" width="13.125" style="31" customWidth="1"/>
    <col min="29" max="32" width="4.75" style="31" customWidth="1"/>
    <col min="33" max="33" width="9" style="31"/>
    <col min="34" max="34" width="20.375" style="31" customWidth="1"/>
    <col min="35" max="35" width="9" style="31"/>
    <col min="36" max="36" width="19.625" style="31" customWidth="1"/>
    <col min="37" max="16384" width="9" style="31"/>
  </cols>
  <sheetData>
    <row r="1" spans="1:46" s="1" customFormat="1" ht="41.25" customHeight="1" x14ac:dyDescent="0.3">
      <c r="A1" s="64" t="s">
        <v>268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46" s="2" customFormat="1" ht="123.75" customHeight="1" x14ac:dyDescent="0.3">
      <c r="A2" s="82" t="s">
        <v>264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</row>
    <row r="3" spans="1:46" s="3" customFormat="1" ht="29.25" customHeight="1" x14ac:dyDescent="0.3">
      <c r="A3" s="91" t="s">
        <v>7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83" t="s">
        <v>265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</row>
    <row r="4" spans="1:46" s="3" customFormat="1" ht="27" customHeight="1" x14ac:dyDescent="0.3">
      <c r="A4" s="93" t="s">
        <v>0</v>
      </c>
      <c r="B4" s="95" t="s">
        <v>2</v>
      </c>
      <c r="C4" s="95" t="s">
        <v>3</v>
      </c>
      <c r="D4" s="97" t="s">
        <v>4</v>
      </c>
      <c r="E4" s="93" t="s">
        <v>5</v>
      </c>
      <c r="F4" s="97" t="s">
        <v>6</v>
      </c>
      <c r="G4" s="93" t="s">
        <v>7</v>
      </c>
      <c r="H4" s="92" t="s">
        <v>8</v>
      </c>
      <c r="I4" s="92"/>
      <c r="J4" s="92"/>
      <c r="K4" s="92"/>
      <c r="L4" s="92"/>
      <c r="M4" s="92"/>
      <c r="N4" s="92"/>
      <c r="O4" s="72" t="s">
        <v>266</v>
      </c>
      <c r="P4" s="73" t="s">
        <v>165</v>
      </c>
      <c r="Q4" s="73" t="s">
        <v>204</v>
      </c>
      <c r="R4" s="74" t="s">
        <v>166</v>
      </c>
      <c r="S4" s="84" t="s">
        <v>192</v>
      </c>
      <c r="T4" s="85"/>
      <c r="U4" s="85"/>
      <c r="V4" s="86"/>
      <c r="W4" s="84" t="s">
        <v>193</v>
      </c>
      <c r="X4" s="85"/>
      <c r="Y4" s="85"/>
      <c r="Z4" s="86"/>
      <c r="AA4" s="89" t="s">
        <v>202</v>
      </c>
      <c r="AB4" s="81" t="s">
        <v>194</v>
      </c>
      <c r="AC4" s="87" t="s">
        <v>195</v>
      </c>
      <c r="AD4" s="87"/>
      <c r="AE4" s="87"/>
      <c r="AF4" s="87"/>
      <c r="AG4" s="75" t="s">
        <v>167</v>
      </c>
      <c r="AH4" s="73" t="s">
        <v>9</v>
      </c>
      <c r="AI4" s="88" t="s">
        <v>203</v>
      </c>
      <c r="AJ4" s="88" t="s">
        <v>10</v>
      </c>
    </row>
    <row r="5" spans="1:46" s="51" customFormat="1" ht="51" customHeight="1" x14ac:dyDescent="0.3">
      <c r="A5" s="94"/>
      <c r="B5" s="96"/>
      <c r="C5" s="96"/>
      <c r="D5" s="98"/>
      <c r="E5" s="94"/>
      <c r="F5" s="98"/>
      <c r="G5" s="94"/>
      <c r="H5" s="46" t="s">
        <v>11</v>
      </c>
      <c r="I5" s="46" t="s">
        <v>12</v>
      </c>
      <c r="J5" s="46" t="s">
        <v>13</v>
      </c>
      <c r="K5" s="46" t="s">
        <v>14</v>
      </c>
      <c r="L5" s="46" t="s">
        <v>15</v>
      </c>
      <c r="M5" s="46" t="s">
        <v>16</v>
      </c>
      <c r="N5" s="46" t="s">
        <v>17</v>
      </c>
      <c r="O5" s="47" t="s">
        <v>168</v>
      </c>
      <c r="P5" s="48" t="s">
        <v>169</v>
      </c>
      <c r="Q5" s="48" t="s">
        <v>205</v>
      </c>
      <c r="R5" s="48" t="s">
        <v>170</v>
      </c>
      <c r="S5" s="68" t="s">
        <v>171</v>
      </c>
      <c r="T5" s="68" t="s">
        <v>172</v>
      </c>
      <c r="U5" s="68" t="s">
        <v>173</v>
      </c>
      <c r="V5" s="68" t="s">
        <v>200</v>
      </c>
      <c r="W5" s="69" t="s">
        <v>174</v>
      </c>
      <c r="X5" s="69" t="s">
        <v>175</v>
      </c>
      <c r="Y5" s="70" t="s">
        <v>176</v>
      </c>
      <c r="Z5" s="70" t="s">
        <v>177</v>
      </c>
      <c r="AA5" s="90"/>
      <c r="AB5" s="81"/>
      <c r="AC5" s="71" t="s">
        <v>178</v>
      </c>
      <c r="AD5" s="71" t="s">
        <v>179</v>
      </c>
      <c r="AE5" s="71" t="s">
        <v>180</v>
      </c>
      <c r="AF5" s="71" t="s">
        <v>181</v>
      </c>
      <c r="AG5" s="49" t="s">
        <v>182</v>
      </c>
      <c r="AH5" s="50" t="s">
        <v>183</v>
      </c>
      <c r="AI5" s="88"/>
      <c r="AJ5" s="88"/>
    </row>
    <row r="6" spans="1:46" s="9" customFormat="1" ht="32.25" customHeight="1" x14ac:dyDescent="0.3">
      <c r="A6" s="76">
        <v>1</v>
      </c>
      <c r="B6" s="4" t="s">
        <v>18</v>
      </c>
      <c r="C6" s="4" t="s">
        <v>19</v>
      </c>
      <c r="D6" s="5" t="s">
        <v>20</v>
      </c>
      <c r="E6" s="4" t="s">
        <v>21</v>
      </c>
      <c r="F6" s="6" t="s">
        <v>22</v>
      </c>
      <c r="G6" s="6" t="s">
        <v>207</v>
      </c>
      <c r="H6" s="4" t="s">
        <v>13</v>
      </c>
      <c r="I6" s="4">
        <v>20</v>
      </c>
      <c r="J6" s="12">
        <v>30</v>
      </c>
      <c r="K6" s="4">
        <v>20</v>
      </c>
      <c r="L6" s="4">
        <v>20</v>
      </c>
      <c r="M6" s="4">
        <v>10</v>
      </c>
      <c r="N6" s="7">
        <f>SUM(I6:M6)</f>
        <v>100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spans="1:46" s="9" customFormat="1" ht="51.75" customHeight="1" x14ac:dyDescent="0.3">
      <c r="A7" s="76">
        <v>2</v>
      </c>
      <c r="B7" s="4" t="s">
        <v>18</v>
      </c>
      <c r="C7" s="4" t="s">
        <v>23</v>
      </c>
      <c r="D7" s="5" t="s">
        <v>24</v>
      </c>
      <c r="E7" s="4" t="s">
        <v>25</v>
      </c>
      <c r="F7" s="8" t="s">
        <v>26</v>
      </c>
      <c r="G7" s="6" t="s">
        <v>27</v>
      </c>
      <c r="H7" s="4" t="s">
        <v>12</v>
      </c>
      <c r="I7" s="12">
        <v>30</v>
      </c>
      <c r="J7" s="4">
        <v>20</v>
      </c>
      <c r="K7" s="4">
        <v>20</v>
      </c>
      <c r="L7" s="4">
        <v>20</v>
      </c>
      <c r="M7" s="4">
        <v>10</v>
      </c>
      <c r="N7" s="7">
        <f>SUM(I7:M7)</f>
        <v>100</v>
      </c>
      <c r="O7" s="37"/>
      <c r="P7" s="37"/>
      <c r="Q7" s="37"/>
      <c r="R7" s="37"/>
      <c r="S7" s="4"/>
      <c r="T7" s="4"/>
      <c r="U7" s="4"/>
      <c r="V7" s="4"/>
      <c r="W7" s="4"/>
      <c r="X7" s="4"/>
      <c r="Y7" s="4"/>
      <c r="Z7" s="4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10"/>
      <c r="AL7" s="10"/>
      <c r="AM7" s="10"/>
      <c r="AN7" s="10"/>
      <c r="AO7" s="10"/>
      <c r="AP7" s="10"/>
      <c r="AQ7" s="10"/>
      <c r="AR7" s="10"/>
      <c r="AS7" s="10"/>
      <c r="AT7" s="10"/>
    </row>
    <row r="8" spans="1:46" s="9" customFormat="1" ht="32.25" customHeight="1" x14ac:dyDescent="0.3">
      <c r="A8" s="76">
        <v>3</v>
      </c>
      <c r="B8" s="4" t="s">
        <v>18</v>
      </c>
      <c r="C8" s="4" t="s">
        <v>23</v>
      </c>
      <c r="D8" s="4" t="s">
        <v>28</v>
      </c>
      <c r="E8" s="4" t="s">
        <v>21</v>
      </c>
      <c r="F8" s="6" t="s">
        <v>29</v>
      </c>
      <c r="G8" s="6" t="s">
        <v>208</v>
      </c>
      <c r="H8" s="4" t="s">
        <v>12</v>
      </c>
      <c r="I8" s="12">
        <v>100</v>
      </c>
      <c r="J8" s="11">
        <v>0</v>
      </c>
      <c r="K8" s="11">
        <v>0</v>
      </c>
      <c r="L8" s="11">
        <v>0</v>
      </c>
      <c r="M8" s="11">
        <v>0</v>
      </c>
      <c r="N8" s="7">
        <f>SUM(I8:M8)</f>
        <v>100</v>
      </c>
      <c r="O8" s="37"/>
      <c r="P8" s="37"/>
      <c r="Q8" s="37"/>
      <c r="R8" s="37"/>
      <c r="S8" s="4"/>
      <c r="T8" s="4"/>
      <c r="U8" s="4"/>
      <c r="V8" s="4"/>
      <c r="W8" s="4"/>
      <c r="X8" s="4"/>
      <c r="Y8" s="4"/>
      <c r="Z8" s="4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10"/>
      <c r="AL8" s="10"/>
      <c r="AM8" s="10"/>
      <c r="AN8" s="10"/>
      <c r="AO8" s="10"/>
      <c r="AP8" s="10"/>
      <c r="AQ8" s="10"/>
      <c r="AR8" s="10"/>
      <c r="AS8" s="10"/>
      <c r="AT8" s="10"/>
    </row>
    <row r="9" spans="1:46" s="19" customFormat="1" ht="32.25" customHeight="1" x14ac:dyDescent="0.3">
      <c r="A9" s="76">
        <v>4</v>
      </c>
      <c r="B9" s="4" t="s">
        <v>18</v>
      </c>
      <c r="C9" s="4" t="s">
        <v>23</v>
      </c>
      <c r="D9" s="4" t="s">
        <v>95</v>
      </c>
      <c r="E9" s="4" t="s">
        <v>21</v>
      </c>
      <c r="F9" s="6" t="s">
        <v>209</v>
      </c>
      <c r="G9" s="6" t="s">
        <v>210</v>
      </c>
      <c r="H9" s="4" t="s">
        <v>13</v>
      </c>
      <c r="I9" s="4">
        <v>0</v>
      </c>
      <c r="J9" s="12">
        <v>50</v>
      </c>
      <c r="K9" s="11">
        <v>20</v>
      </c>
      <c r="L9" s="11">
        <v>30</v>
      </c>
      <c r="M9" s="11">
        <v>0</v>
      </c>
      <c r="N9" s="7">
        <f>SUM(I9:M9)</f>
        <v>100</v>
      </c>
      <c r="O9" s="13"/>
      <c r="P9" s="13"/>
      <c r="Q9" s="13"/>
      <c r="R9" s="13"/>
      <c r="S9" s="4"/>
      <c r="T9" s="4"/>
      <c r="U9" s="4"/>
      <c r="V9" s="4"/>
      <c r="W9" s="4"/>
      <c r="X9" s="4"/>
      <c r="Y9" s="4"/>
      <c r="Z9" s="4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8"/>
      <c r="AL9" s="18"/>
      <c r="AM9" s="18"/>
      <c r="AN9" s="18"/>
      <c r="AO9" s="18"/>
      <c r="AP9" s="18"/>
      <c r="AQ9" s="18"/>
      <c r="AR9" s="18"/>
      <c r="AS9" s="18"/>
      <c r="AT9" s="18"/>
    </row>
    <row r="10" spans="1:46" s="19" customFormat="1" ht="32.25" customHeight="1" x14ac:dyDescent="0.3">
      <c r="A10" s="76">
        <v>5</v>
      </c>
      <c r="B10" s="13" t="s">
        <v>30</v>
      </c>
      <c r="C10" s="13" t="s">
        <v>19</v>
      </c>
      <c r="D10" s="14" t="s">
        <v>20</v>
      </c>
      <c r="E10" s="13" t="s">
        <v>31</v>
      </c>
      <c r="F10" s="15" t="s">
        <v>32</v>
      </c>
      <c r="G10" s="16" t="s">
        <v>211</v>
      </c>
      <c r="H10" s="13" t="s">
        <v>12</v>
      </c>
      <c r="I10" s="22">
        <v>50</v>
      </c>
      <c r="J10" s="13">
        <v>10</v>
      </c>
      <c r="K10" s="13">
        <v>0</v>
      </c>
      <c r="L10" s="13">
        <v>40</v>
      </c>
      <c r="M10" s="13">
        <v>0</v>
      </c>
      <c r="N10" s="17">
        <f t="shared" ref="N10:N21" si="0">SUM(I10:M10)</f>
        <v>100</v>
      </c>
      <c r="O10" s="38"/>
      <c r="P10" s="38"/>
      <c r="Q10" s="38"/>
      <c r="R10" s="38"/>
      <c r="S10" s="4"/>
      <c r="T10" s="4"/>
      <c r="U10" s="4"/>
      <c r="V10" s="4"/>
      <c r="W10" s="4"/>
      <c r="X10" s="4"/>
      <c r="Y10" s="4"/>
      <c r="Z10" s="4"/>
      <c r="AA10" s="38"/>
      <c r="AB10" s="38"/>
      <c r="AC10" s="38"/>
      <c r="AD10" s="38"/>
      <c r="AE10" s="38"/>
      <c r="AF10" s="38"/>
      <c r="AG10" s="38"/>
      <c r="AH10" s="38"/>
      <c r="AI10" s="38"/>
      <c r="AJ10" s="38"/>
    </row>
    <row r="11" spans="1:46" s="19" customFormat="1" ht="32.25" customHeight="1" x14ac:dyDescent="0.3">
      <c r="A11" s="76">
        <v>6</v>
      </c>
      <c r="B11" s="13" t="s">
        <v>30</v>
      </c>
      <c r="C11" s="13" t="s">
        <v>33</v>
      </c>
      <c r="D11" s="14" t="s">
        <v>34</v>
      </c>
      <c r="E11" s="13" t="s">
        <v>31</v>
      </c>
      <c r="F11" s="15" t="s">
        <v>35</v>
      </c>
      <c r="G11" s="16" t="s">
        <v>211</v>
      </c>
      <c r="H11" s="13" t="s">
        <v>12</v>
      </c>
      <c r="I11" s="22">
        <v>50</v>
      </c>
      <c r="J11" s="13">
        <v>10</v>
      </c>
      <c r="K11" s="13">
        <v>0</v>
      </c>
      <c r="L11" s="13">
        <v>40</v>
      </c>
      <c r="M11" s="13">
        <v>0</v>
      </c>
      <c r="N11" s="17">
        <f t="shared" si="0"/>
        <v>100</v>
      </c>
      <c r="O11" s="39"/>
      <c r="P11" s="39"/>
      <c r="Q11" s="39"/>
      <c r="R11" s="39"/>
      <c r="S11" s="4"/>
      <c r="T11" s="4"/>
      <c r="U11" s="4"/>
      <c r="V11" s="4"/>
      <c r="W11" s="4"/>
      <c r="X11" s="4"/>
      <c r="Y11" s="4"/>
      <c r="Z11" s="4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20"/>
      <c r="AL11" s="20"/>
      <c r="AM11" s="20"/>
      <c r="AN11" s="20"/>
      <c r="AO11" s="20"/>
      <c r="AP11" s="20"/>
      <c r="AQ11" s="20"/>
      <c r="AR11" s="20"/>
      <c r="AS11" s="20"/>
      <c r="AT11" s="20"/>
    </row>
    <row r="12" spans="1:46" s="19" customFormat="1" ht="32.25" customHeight="1" x14ac:dyDescent="0.3">
      <c r="A12" s="76">
        <v>7</v>
      </c>
      <c r="B12" s="13" t="s">
        <v>36</v>
      </c>
      <c r="C12" s="13" t="s">
        <v>19</v>
      </c>
      <c r="D12" s="14" t="s">
        <v>20</v>
      </c>
      <c r="E12" s="13" t="s">
        <v>37</v>
      </c>
      <c r="F12" s="15" t="s">
        <v>38</v>
      </c>
      <c r="G12" s="16" t="s">
        <v>39</v>
      </c>
      <c r="H12" s="13" t="s">
        <v>12</v>
      </c>
      <c r="I12" s="22">
        <v>50</v>
      </c>
      <c r="J12" s="13">
        <v>0</v>
      </c>
      <c r="K12" s="13">
        <v>30</v>
      </c>
      <c r="L12" s="13">
        <v>20</v>
      </c>
      <c r="M12" s="13">
        <v>0</v>
      </c>
      <c r="N12" s="17">
        <f t="shared" si="0"/>
        <v>100</v>
      </c>
      <c r="O12" s="39"/>
      <c r="P12" s="39"/>
      <c r="Q12" s="39"/>
      <c r="R12" s="39"/>
      <c r="S12" s="4"/>
      <c r="T12" s="4"/>
      <c r="U12" s="4"/>
      <c r="V12" s="4"/>
      <c r="W12" s="4"/>
      <c r="X12" s="4"/>
      <c r="Y12" s="4"/>
      <c r="Z12" s="4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20"/>
      <c r="AL12" s="20"/>
      <c r="AM12" s="20"/>
      <c r="AN12" s="20"/>
      <c r="AO12" s="20"/>
      <c r="AP12" s="20"/>
      <c r="AQ12" s="20"/>
      <c r="AR12" s="20"/>
      <c r="AS12" s="20"/>
      <c r="AT12" s="20"/>
    </row>
    <row r="13" spans="1:46" s="19" customFormat="1" ht="32.25" customHeight="1" x14ac:dyDescent="0.3">
      <c r="A13" s="76">
        <v>8</v>
      </c>
      <c r="B13" s="13" t="s">
        <v>30</v>
      </c>
      <c r="C13" s="13" t="s">
        <v>19</v>
      </c>
      <c r="D13" s="14" t="s">
        <v>20</v>
      </c>
      <c r="E13" s="13" t="s">
        <v>31</v>
      </c>
      <c r="F13" s="15" t="s">
        <v>40</v>
      </c>
      <c r="G13" s="16" t="s">
        <v>41</v>
      </c>
      <c r="H13" s="13" t="s">
        <v>15</v>
      </c>
      <c r="I13" s="13">
        <v>0</v>
      </c>
      <c r="J13" s="13">
        <v>40</v>
      </c>
      <c r="K13" s="13">
        <v>0</v>
      </c>
      <c r="L13" s="22">
        <v>60</v>
      </c>
      <c r="M13" s="13">
        <v>0</v>
      </c>
      <c r="N13" s="17">
        <f t="shared" si="0"/>
        <v>100</v>
      </c>
      <c r="O13" s="13"/>
      <c r="P13" s="13"/>
      <c r="Q13" s="13"/>
      <c r="R13" s="13"/>
      <c r="S13" s="4"/>
      <c r="T13" s="4"/>
      <c r="U13" s="4"/>
      <c r="V13" s="4"/>
      <c r="W13" s="4"/>
      <c r="X13" s="4"/>
      <c r="Y13" s="4"/>
      <c r="Z13" s="4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8"/>
      <c r="AL13" s="18"/>
      <c r="AM13" s="18"/>
      <c r="AN13" s="18"/>
      <c r="AO13" s="18"/>
      <c r="AP13" s="18"/>
      <c r="AQ13" s="18"/>
      <c r="AR13" s="18"/>
      <c r="AS13" s="18"/>
      <c r="AT13" s="18"/>
    </row>
    <row r="14" spans="1:46" s="20" customFormat="1" ht="32.25" customHeight="1" x14ac:dyDescent="0.3">
      <c r="A14" s="76">
        <v>9</v>
      </c>
      <c r="B14" s="13" t="s">
        <v>36</v>
      </c>
      <c r="C14" s="13" t="s">
        <v>19</v>
      </c>
      <c r="D14" s="13" t="s">
        <v>20</v>
      </c>
      <c r="E14" s="13" t="s">
        <v>37</v>
      </c>
      <c r="F14" s="15" t="s">
        <v>42</v>
      </c>
      <c r="G14" s="16" t="s">
        <v>43</v>
      </c>
      <c r="H14" s="13" t="s">
        <v>12</v>
      </c>
      <c r="I14" s="22">
        <v>50</v>
      </c>
      <c r="J14" s="13">
        <v>30</v>
      </c>
      <c r="K14" s="13">
        <v>20</v>
      </c>
      <c r="L14" s="13">
        <v>0</v>
      </c>
      <c r="M14" s="13">
        <v>0</v>
      </c>
      <c r="N14" s="17">
        <f t="shared" si="0"/>
        <v>100</v>
      </c>
      <c r="O14" s="25"/>
      <c r="P14" s="25"/>
      <c r="Q14" s="25"/>
      <c r="R14" s="13"/>
      <c r="S14" s="4"/>
      <c r="T14" s="4"/>
      <c r="U14" s="4"/>
      <c r="V14" s="4"/>
      <c r="W14" s="4"/>
      <c r="X14" s="4"/>
      <c r="Y14" s="4"/>
      <c r="Z14" s="4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8"/>
      <c r="AL14" s="18"/>
      <c r="AM14" s="18"/>
      <c r="AN14" s="18"/>
      <c r="AO14" s="18"/>
      <c r="AP14" s="18"/>
      <c r="AQ14" s="18"/>
      <c r="AR14" s="18"/>
      <c r="AS14" s="18"/>
      <c r="AT14" s="18"/>
    </row>
    <row r="15" spans="1:46" s="20" customFormat="1" ht="32.25" customHeight="1" x14ac:dyDescent="0.3">
      <c r="A15" s="76">
        <v>10</v>
      </c>
      <c r="B15" s="13" t="s">
        <v>36</v>
      </c>
      <c r="C15" s="13" t="s">
        <v>19</v>
      </c>
      <c r="D15" s="14" t="s">
        <v>34</v>
      </c>
      <c r="E15" s="13" t="s">
        <v>31</v>
      </c>
      <c r="F15" s="15" t="s">
        <v>44</v>
      </c>
      <c r="G15" s="16" t="s">
        <v>212</v>
      </c>
      <c r="H15" s="13" t="s">
        <v>15</v>
      </c>
      <c r="I15" s="13">
        <v>30</v>
      </c>
      <c r="J15" s="13">
        <v>10</v>
      </c>
      <c r="K15" s="13">
        <v>0</v>
      </c>
      <c r="L15" s="22">
        <v>60</v>
      </c>
      <c r="M15" s="13">
        <v>0</v>
      </c>
      <c r="N15" s="17">
        <f t="shared" si="0"/>
        <v>100</v>
      </c>
      <c r="O15" s="13"/>
      <c r="P15" s="13"/>
      <c r="Q15" s="13"/>
      <c r="R15" s="13"/>
      <c r="S15" s="4"/>
      <c r="T15" s="4"/>
      <c r="U15" s="4"/>
      <c r="V15" s="4"/>
      <c r="W15" s="4"/>
      <c r="X15" s="4"/>
      <c r="Y15" s="4"/>
      <c r="Z15" s="4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8"/>
      <c r="AL15" s="18"/>
      <c r="AM15" s="18"/>
      <c r="AN15" s="18"/>
      <c r="AO15" s="18"/>
      <c r="AP15" s="18"/>
      <c r="AQ15" s="18"/>
      <c r="AR15" s="18"/>
      <c r="AS15" s="18"/>
      <c r="AT15" s="18"/>
    </row>
    <row r="16" spans="1:46" s="20" customFormat="1" ht="32.25" customHeight="1" x14ac:dyDescent="0.3">
      <c r="A16" s="76">
        <v>11</v>
      </c>
      <c r="B16" s="13" t="s">
        <v>36</v>
      </c>
      <c r="C16" s="13" t="s">
        <v>19</v>
      </c>
      <c r="D16" s="14" t="s">
        <v>34</v>
      </c>
      <c r="E16" s="13" t="s">
        <v>31</v>
      </c>
      <c r="F16" s="15" t="s">
        <v>45</v>
      </c>
      <c r="G16" s="16" t="s">
        <v>213</v>
      </c>
      <c r="H16" s="13" t="s">
        <v>12</v>
      </c>
      <c r="I16" s="22">
        <v>60</v>
      </c>
      <c r="J16" s="13">
        <v>10</v>
      </c>
      <c r="K16" s="13">
        <v>0</v>
      </c>
      <c r="L16" s="13">
        <v>30</v>
      </c>
      <c r="M16" s="13">
        <v>0</v>
      </c>
      <c r="N16" s="17">
        <f t="shared" si="0"/>
        <v>100</v>
      </c>
      <c r="O16" s="39"/>
      <c r="P16" s="39"/>
      <c r="Q16" s="39"/>
      <c r="R16" s="39"/>
      <c r="S16" s="4"/>
      <c r="T16" s="4"/>
      <c r="U16" s="4"/>
      <c r="V16" s="4"/>
      <c r="W16" s="4"/>
      <c r="X16" s="4"/>
      <c r="Y16" s="4"/>
      <c r="Z16" s="4"/>
      <c r="AA16" s="39"/>
      <c r="AB16" s="39"/>
      <c r="AC16" s="39"/>
      <c r="AD16" s="39"/>
      <c r="AE16" s="39"/>
      <c r="AF16" s="39"/>
      <c r="AG16" s="39"/>
      <c r="AH16" s="39"/>
      <c r="AI16" s="39"/>
      <c r="AJ16" s="39"/>
    </row>
    <row r="17" spans="1:46" s="20" customFormat="1" ht="32.25" customHeight="1" x14ac:dyDescent="0.3">
      <c r="A17" s="76">
        <v>12</v>
      </c>
      <c r="B17" s="13" t="s">
        <v>36</v>
      </c>
      <c r="C17" s="13" t="s">
        <v>19</v>
      </c>
      <c r="D17" s="14" t="s">
        <v>34</v>
      </c>
      <c r="E17" s="13" t="s">
        <v>31</v>
      </c>
      <c r="F17" s="15" t="s">
        <v>46</v>
      </c>
      <c r="G17" s="16" t="s">
        <v>214</v>
      </c>
      <c r="H17" s="13" t="s">
        <v>15</v>
      </c>
      <c r="I17" s="13">
        <v>30</v>
      </c>
      <c r="J17" s="13">
        <v>10</v>
      </c>
      <c r="K17" s="13">
        <v>0</v>
      </c>
      <c r="L17" s="22">
        <v>60</v>
      </c>
      <c r="M17" s="13">
        <v>0</v>
      </c>
      <c r="N17" s="17">
        <f t="shared" si="0"/>
        <v>100</v>
      </c>
      <c r="O17" s="40"/>
      <c r="P17" s="40"/>
      <c r="Q17" s="40"/>
      <c r="R17" s="40"/>
      <c r="S17" s="4"/>
      <c r="T17" s="4"/>
      <c r="U17" s="4"/>
      <c r="V17" s="4"/>
      <c r="W17" s="4"/>
      <c r="X17" s="4"/>
      <c r="Y17" s="4"/>
      <c r="Z17" s="4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21"/>
      <c r="AL17" s="21"/>
      <c r="AM17" s="21"/>
      <c r="AN17" s="21"/>
      <c r="AO17" s="21"/>
      <c r="AP17" s="21"/>
      <c r="AQ17" s="21"/>
      <c r="AR17" s="21"/>
      <c r="AS17" s="21"/>
      <c r="AT17" s="21"/>
    </row>
    <row r="18" spans="1:46" s="20" customFormat="1" ht="32.25" customHeight="1" x14ac:dyDescent="0.3">
      <c r="A18" s="76">
        <v>13</v>
      </c>
      <c r="B18" s="13" t="s">
        <v>36</v>
      </c>
      <c r="C18" s="13" t="s">
        <v>19</v>
      </c>
      <c r="D18" s="14" t="s">
        <v>34</v>
      </c>
      <c r="E18" s="13" t="s">
        <v>37</v>
      </c>
      <c r="F18" s="15" t="s">
        <v>215</v>
      </c>
      <c r="G18" s="16" t="s">
        <v>216</v>
      </c>
      <c r="H18" s="13" t="s">
        <v>14</v>
      </c>
      <c r="I18" s="13">
        <v>30</v>
      </c>
      <c r="J18" s="13">
        <v>0</v>
      </c>
      <c r="K18" s="22">
        <v>40</v>
      </c>
      <c r="L18" s="13">
        <v>30</v>
      </c>
      <c r="M18" s="13">
        <v>0</v>
      </c>
      <c r="N18" s="17">
        <f t="shared" si="0"/>
        <v>100</v>
      </c>
      <c r="O18" s="25"/>
      <c r="P18" s="25"/>
      <c r="Q18" s="25"/>
      <c r="R18" s="13"/>
      <c r="S18" s="4"/>
      <c r="T18" s="4"/>
      <c r="U18" s="4"/>
      <c r="V18" s="4"/>
      <c r="W18" s="4"/>
      <c r="X18" s="4"/>
      <c r="Y18" s="4"/>
      <c r="Z18" s="4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8"/>
      <c r="AL18" s="18"/>
      <c r="AM18" s="18"/>
      <c r="AN18" s="18"/>
      <c r="AO18" s="18"/>
      <c r="AP18" s="18"/>
      <c r="AQ18" s="18"/>
      <c r="AR18" s="18"/>
      <c r="AS18" s="18"/>
      <c r="AT18" s="18"/>
    </row>
    <row r="19" spans="1:46" s="20" customFormat="1" ht="32.25" customHeight="1" x14ac:dyDescent="0.3">
      <c r="A19" s="76">
        <v>14</v>
      </c>
      <c r="B19" s="13" t="s">
        <v>30</v>
      </c>
      <c r="C19" s="13" t="s">
        <v>23</v>
      </c>
      <c r="D19" s="14" t="s">
        <v>34</v>
      </c>
      <c r="E19" s="13" t="s">
        <v>31</v>
      </c>
      <c r="F19" s="15" t="s">
        <v>47</v>
      </c>
      <c r="G19" s="16" t="s">
        <v>217</v>
      </c>
      <c r="H19" s="13" t="s">
        <v>12</v>
      </c>
      <c r="I19" s="22">
        <v>50</v>
      </c>
      <c r="J19" s="13">
        <v>0</v>
      </c>
      <c r="K19" s="13">
        <v>20</v>
      </c>
      <c r="L19" s="13">
        <v>30</v>
      </c>
      <c r="M19" s="13">
        <v>0</v>
      </c>
      <c r="N19" s="17">
        <f t="shared" si="0"/>
        <v>100</v>
      </c>
      <c r="O19" s="13"/>
      <c r="P19" s="13"/>
      <c r="Q19" s="13"/>
      <c r="R19" s="13"/>
      <c r="S19" s="4"/>
      <c r="T19" s="4"/>
      <c r="U19" s="4"/>
      <c r="V19" s="4"/>
      <c r="W19" s="4"/>
      <c r="X19" s="4"/>
      <c r="Y19" s="4"/>
      <c r="Z19" s="4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8"/>
      <c r="AL19" s="18"/>
      <c r="AM19" s="18"/>
      <c r="AN19" s="18"/>
      <c r="AO19" s="18"/>
      <c r="AP19" s="18"/>
      <c r="AQ19" s="18"/>
      <c r="AR19" s="18"/>
      <c r="AS19" s="18"/>
      <c r="AT19" s="18"/>
    </row>
    <row r="20" spans="1:46" s="20" customFormat="1" ht="32.25" customHeight="1" x14ac:dyDescent="0.3">
      <c r="A20" s="76">
        <v>15</v>
      </c>
      <c r="B20" s="13" t="s">
        <v>36</v>
      </c>
      <c r="C20" s="13" t="s">
        <v>23</v>
      </c>
      <c r="D20" s="14" t="s">
        <v>34</v>
      </c>
      <c r="E20" s="13" t="s">
        <v>37</v>
      </c>
      <c r="F20" s="15" t="s">
        <v>48</v>
      </c>
      <c r="G20" s="16" t="s">
        <v>49</v>
      </c>
      <c r="H20" s="13" t="s">
        <v>15</v>
      </c>
      <c r="I20" s="13">
        <v>30</v>
      </c>
      <c r="J20" s="13">
        <v>0</v>
      </c>
      <c r="K20" s="13">
        <v>20</v>
      </c>
      <c r="L20" s="22">
        <v>50</v>
      </c>
      <c r="M20" s="13">
        <v>0</v>
      </c>
      <c r="N20" s="17">
        <f t="shared" si="0"/>
        <v>100</v>
      </c>
      <c r="O20" s="13"/>
      <c r="P20" s="13"/>
      <c r="Q20" s="13"/>
      <c r="R20" s="13"/>
      <c r="S20" s="4"/>
      <c r="T20" s="4"/>
      <c r="U20" s="4"/>
      <c r="V20" s="4"/>
      <c r="W20" s="4"/>
      <c r="X20" s="4"/>
      <c r="Y20" s="4"/>
      <c r="Z20" s="4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8"/>
      <c r="AL20" s="18"/>
      <c r="AM20" s="18"/>
      <c r="AN20" s="18"/>
      <c r="AO20" s="18"/>
      <c r="AP20" s="18"/>
      <c r="AQ20" s="18"/>
      <c r="AR20" s="18"/>
      <c r="AS20" s="18"/>
      <c r="AT20" s="18"/>
    </row>
    <row r="21" spans="1:46" s="20" customFormat="1" ht="32.25" customHeight="1" x14ac:dyDescent="0.3">
      <c r="A21" s="76">
        <v>16</v>
      </c>
      <c r="B21" s="13" t="s">
        <v>30</v>
      </c>
      <c r="C21" s="13" t="s">
        <v>19</v>
      </c>
      <c r="D21" s="13" t="s">
        <v>50</v>
      </c>
      <c r="E21" s="13" t="s">
        <v>31</v>
      </c>
      <c r="F21" s="15" t="s">
        <v>51</v>
      </c>
      <c r="G21" s="16" t="s">
        <v>218</v>
      </c>
      <c r="H21" s="13" t="s">
        <v>12</v>
      </c>
      <c r="I21" s="22">
        <v>40</v>
      </c>
      <c r="J21" s="13">
        <v>30</v>
      </c>
      <c r="K21" s="13">
        <v>0</v>
      </c>
      <c r="L21" s="13">
        <v>30</v>
      </c>
      <c r="M21" s="13">
        <v>0</v>
      </c>
      <c r="N21" s="17">
        <f t="shared" si="0"/>
        <v>100</v>
      </c>
      <c r="O21" s="39"/>
      <c r="P21" s="39"/>
      <c r="Q21" s="39"/>
      <c r="R21" s="39"/>
      <c r="S21" s="4"/>
      <c r="T21" s="4"/>
      <c r="U21" s="4"/>
      <c r="V21" s="4"/>
      <c r="W21" s="4"/>
      <c r="X21" s="4"/>
      <c r="Y21" s="4"/>
      <c r="Z21" s="4"/>
      <c r="AA21" s="39"/>
      <c r="AB21" s="39"/>
      <c r="AC21" s="39"/>
      <c r="AD21" s="39"/>
      <c r="AE21" s="39"/>
      <c r="AF21" s="39"/>
      <c r="AG21" s="39"/>
      <c r="AH21" s="39"/>
      <c r="AI21" s="39"/>
      <c r="AJ21" s="39"/>
    </row>
    <row r="22" spans="1:46" s="20" customFormat="1" ht="40.5" x14ac:dyDescent="0.3">
      <c r="A22" s="76">
        <v>17</v>
      </c>
      <c r="B22" s="13" t="s">
        <v>30</v>
      </c>
      <c r="C22" s="13" t="s">
        <v>23</v>
      </c>
      <c r="D22" s="13" t="s">
        <v>52</v>
      </c>
      <c r="E22" s="13" t="s">
        <v>53</v>
      </c>
      <c r="F22" s="15" t="s">
        <v>54</v>
      </c>
      <c r="G22" s="16" t="s">
        <v>55</v>
      </c>
      <c r="H22" s="13" t="s">
        <v>15</v>
      </c>
      <c r="I22" s="13">
        <v>0</v>
      </c>
      <c r="J22" s="13">
        <v>0</v>
      </c>
      <c r="K22" s="13">
        <v>30</v>
      </c>
      <c r="L22" s="22">
        <v>70</v>
      </c>
      <c r="M22" s="13">
        <v>0</v>
      </c>
      <c r="N22" s="17">
        <v>100</v>
      </c>
      <c r="O22" s="39"/>
      <c r="P22" s="39"/>
      <c r="Q22" s="39"/>
      <c r="R22" s="39"/>
      <c r="S22" s="4"/>
      <c r="T22" s="4"/>
      <c r="U22" s="4"/>
      <c r="V22" s="4"/>
      <c r="W22" s="4"/>
      <c r="X22" s="4"/>
      <c r="Y22" s="4"/>
      <c r="Z22" s="4"/>
      <c r="AA22" s="39"/>
      <c r="AB22" s="39"/>
      <c r="AC22" s="39"/>
      <c r="AD22" s="39"/>
      <c r="AE22" s="39"/>
      <c r="AF22" s="39"/>
      <c r="AG22" s="39"/>
      <c r="AH22" s="39"/>
      <c r="AI22" s="39"/>
      <c r="AJ22" s="39"/>
    </row>
    <row r="23" spans="1:46" s="20" customFormat="1" ht="32.25" customHeight="1" x14ac:dyDescent="0.3">
      <c r="A23" s="76">
        <v>18</v>
      </c>
      <c r="B23" s="13" t="s">
        <v>56</v>
      </c>
      <c r="C23" s="13" t="s">
        <v>23</v>
      </c>
      <c r="D23" s="14" t="s">
        <v>57</v>
      </c>
      <c r="E23" s="13" t="s">
        <v>219</v>
      </c>
      <c r="F23" s="16" t="s">
        <v>220</v>
      </c>
      <c r="G23" s="16" t="s">
        <v>221</v>
      </c>
      <c r="H23" s="25" t="s">
        <v>16</v>
      </c>
      <c r="I23" s="25">
        <v>0</v>
      </c>
      <c r="J23" s="25">
        <v>0</v>
      </c>
      <c r="K23" s="25">
        <v>0</v>
      </c>
      <c r="L23" s="25">
        <v>30</v>
      </c>
      <c r="M23" s="77">
        <v>70</v>
      </c>
      <c r="N23" s="17">
        <f t="shared" ref="N23:N86" si="1">SUM(I23:M23)</f>
        <v>100</v>
      </c>
      <c r="O23" s="41"/>
      <c r="P23" s="41"/>
      <c r="Q23" s="41"/>
      <c r="R23" s="41"/>
      <c r="S23" s="4"/>
      <c r="T23" s="4"/>
      <c r="U23" s="4"/>
      <c r="V23" s="4"/>
      <c r="W23" s="4"/>
      <c r="X23" s="4"/>
      <c r="Y23" s="4"/>
      <c r="Z23" s="4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23"/>
      <c r="AL23" s="23"/>
      <c r="AM23" s="23"/>
      <c r="AN23" s="23"/>
      <c r="AO23" s="23"/>
      <c r="AP23" s="23"/>
      <c r="AQ23" s="23"/>
      <c r="AR23" s="23"/>
      <c r="AS23" s="23"/>
      <c r="AT23" s="23"/>
    </row>
    <row r="24" spans="1:46" s="18" customFormat="1" ht="32.25" customHeight="1" x14ac:dyDescent="0.3">
      <c r="A24" s="76">
        <v>19</v>
      </c>
      <c r="B24" s="13" t="s">
        <v>56</v>
      </c>
      <c r="C24" s="13" t="s">
        <v>23</v>
      </c>
      <c r="D24" s="14" t="s">
        <v>57</v>
      </c>
      <c r="E24" s="13" t="s">
        <v>222</v>
      </c>
      <c r="F24" s="16" t="s">
        <v>223</v>
      </c>
      <c r="G24" s="78" t="s">
        <v>224</v>
      </c>
      <c r="H24" s="25" t="s">
        <v>12</v>
      </c>
      <c r="I24" s="77">
        <v>50</v>
      </c>
      <c r="J24" s="25">
        <v>0</v>
      </c>
      <c r="K24" s="25">
        <v>30</v>
      </c>
      <c r="L24" s="25">
        <v>20</v>
      </c>
      <c r="M24" s="25">
        <v>0</v>
      </c>
      <c r="N24" s="17">
        <f t="shared" si="1"/>
        <v>100</v>
      </c>
      <c r="O24" s="25"/>
      <c r="P24" s="25"/>
      <c r="Q24" s="25"/>
      <c r="R24" s="13"/>
      <c r="S24" s="4"/>
      <c r="T24" s="4"/>
      <c r="U24" s="4"/>
      <c r="V24" s="4"/>
      <c r="W24" s="4"/>
      <c r="X24" s="4"/>
      <c r="Y24" s="4"/>
      <c r="Z24" s="4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spans="1:46" s="18" customFormat="1" ht="32.25" customHeight="1" x14ac:dyDescent="0.3">
      <c r="A25" s="76">
        <v>20</v>
      </c>
      <c r="B25" s="13" t="s">
        <v>56</v>
      </c>
      <c r="C25" s="13" t="s">
        <v>23</v>
      </c>
      <c r="D25" s="14" t="s">
        <v>75</v>
      </c>
      <c r="E25" s="13" t="s">
        <v>53</v>
      </c>
      <c r="F25" s="16" t="s">
        <v>76</v>
      </c>
      <c r="G25" s="16" t="s">
        <v>77</v>
      </c>
      <c r="H25" s="25" t="s">
        <v>15</v>
      </c>
      <c r="I25" s="25">
        <v>40</v>
      </c>
      <c r="J25" s="25">
        <v>0</v>
      </c>
      <c r="K25" s="25">
        <v>0</v>
      </c>
      <c r="L25" s="77">
        <v>60</v>
      </c>
      <c r="M25" s="25">
        <v>0</v>
      </c>
      <c r="N25" s="17">
        <f t="shared" si="1"/>
        <v>100</v>
      </c>
      <c r="O25" s="41"/>
      <c r="P25" s="41"/>
      <c r="Q25" s="41"/>
      <c r="R25" s="41"/>
      <c r="S25" s="4"/>
      <c r="T25" s="4"/>
      <c r="U25" s="4"/>
      <c r="V25" s="4"/>
      <c r="W25" s="4"/>
      <c r="X25" s="4"/>
      <c r="Y25" s="4"/>
      <c r="Z25" s="4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23"/>
      <c r="AL25" s="23"/>
      <c r="AM25" s="23"/>
      <c r="AN25" s="23"/>
      <c r="AO25" s="23"/>
      <c r="AP25" s="23"/>
      <c r="AQ25" s="23"/>
      <c r="AR25" s="23"/>
      <c r="AS25" s="23"/>
      <c r="AT25" s="23"/>
    </row>
    <row r="26" spans="1:46" s="18" customFormat="1" ht="32.25" customHeight="1" x14ac:dyDescent="0.3">
      <c r="A26" s="76">
        <v>21</v>
      </c>
      <c r="B26" s="13" t="s">
        <v>56</v>
      </c>
      <c r="C26" s="13" t="s">
        <v>23</v>
      </c>
      <c r="D26" s="14" t="s">
        <v>57</v>
      </c>
      <c r="E26" s="13" t="s">
        <v>53</v>
      </c>
      <c r="F26" s="16" t="s">
        <v>73</v>
      </c>
      <c r="G26" s="16" t="s">
        <v>74</v>
      </c>
      <c r="H26" s="13" t="s">
        <v>14</v>
      </c>
      <c r="I26" s="13">
        <v>10</v>
      </c>
      <c r="J26" s="13">
        <v>15</v>
      </c>
      <c r="K26" s="22">
        <v>60</v>
      </c>
      <c r="L26" s="13">
        <v>15</v>
      </c>
      <c r="M26" s="13">
        <v>0</v>
      </c>
      <c r="N26" s="17">
        <f t="shared" si="1"/>
        <v>100</v>
      </c>
      <c r="O26" s="13"/>
      <c r="P26" s="13"/>
      <c r="Q26" s="13"/>
      <c r="R26" s="13"/>
      <c r="S26" s="4"/>
      <c r="T26" s="4"/>
      <c r="U26" s="4"/>
      <c r="V26" s="4"/>
      <c r="W26" s="4"/>
      <c r="X26" s="4"/>
      <c r="Y26" s="4"/>
      <c r="Z26" s="4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 spans="1:46" s="18" customFormat="1" ht="32.25" customHeight="1" x14ac:dyDescent="0.3">
      <c r="A27" s="76">
        <v>22</v>
      </c>
      <c r="B27" s="4" t="s">
        <v>56</v>
      </c>
      <c r="C27" s="4" t="s">
        <v>23</v>
      </c>
      <c r="D27" s="5" t="s">
        <v>57</v>
      </c>
      <c r="E27" s="4" t="s">
        <v>225</v>
      </c>
      <c r="F27" s="4" t="s">
        <v>226</v>
      </c>
      <c r="G27" s="6" t="s">
        <v>227</v>
      </c>
      <c r="H27" s="4" t="s">
        <v>14</v>
      </c>
      <c r="I27" s="12">
        <v>60</v>
      </c>
      <c r="J27" s="4">
        <v>0</v>
      </c>
      <c r="K27" s="4">
        <v>10</v>
      </c>
      <c r="L27" s="4">
        <v>10</v>
      </c>
      <c r="M27" s="4">
        <v>20</v>
      </c>
      <c r="N27" s="7">
        <f t="shared" si="1"/>
        <v>100</v>
      </c>
      <c r="O27" s="38"/>
      <c r="P27" s="38"/>
      <c r="Q27" s="38"/>
      <c r="R27" s="38"/>
      <c r="S27" s="4"/>
      <c r="T27" s="4"/>
      <c r="U27" s="4"/>
      <c r="V27" s="4"/>
      <c r="W27" s="4"/>
      <c r="X27" s="4"/>
      <c r="Y27" s="4"/>
      <c r="Z27" s="4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19"/>
      <c r="AL27" s="19"/>
      <c r="AM27" s="19"/>
      <c r="AN27" s="19"/>
      <c r="AO27" s="19"/>
      <c r="AP27" s="19"/>
      <c r="AQ27" s="19"/>
      <c r="AR27" s="19"/>
      <c r="AS27" s="19"/>
      <c r="AT27" s="19"/>
    </row>
    <row r="28" spans="1:46" s="18" customFormat="1" ht="32.25" customHeight="1" x14ac:dyDescent="0.3">
      <c r="A28" s="76">
        <v>23</v>
      </c>
      <c r="B28" s="13" t="s">
        <v>56</v>
      </c>
      <c r="C28" s="13" t="s">
        <v>19</v>
      </c>
      <c r="D28" s="14" t="s">
        <v>20</v>
      </c>
      <c r="E28" s="13" t="s">
        <v>37</v>
      </c>
      <c r="F28" s="15" t="s">
        <v>69</v>
      </c>
      <c r="G28" s="16" t="s">
        <v>70</v>
      </c>
      <c r="H28" s="13" t="s">
        <v>12</v>
      </c>
      <c r="I28" s="22">
        <v>50</v>
      </c>
      <c r="J28" s="13">
        <v>30</v>
      </c>
      <c r="K28" s="13">
        <v>20</v>
      </c>
      <c r="L28" s="13">
        <v>0</v>
      </c>
      <c r="M28" s="13">
        <v>0</v>
      </c>
      <c r="N28" s="17">
        <f t="shared" si="1"/>
        <v>100</v>
      </c>
      <c r="O28" s="39"/>
      <c r="P28" s="39"/>
      <c r="Q28" s="39"/>
      <c r="R28" s="39"/>
      <c r="S28" s="4"/>
      <c r="T28" s="4"/>
      <c r="U28" s="4"/>
      <c r="V28" s="4"/>
      <c r="W28" s="4"/>
      <c r="X28" s="4"/>
      <c r="Y28" s="4"/>
      <c r="Z28" s="4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20"/>
      <c r="AL28" s="20"/>
      <c r="AM28" s="20"/>
      <c r="AN28" s="20"/>
      <c r="AO28" s="20"/>
      <c r="AP28" s="20"/>
      <c r="AQ28" s="20"/>
      <c r="AR28" s="20"/>
      <c r="AS28" s="20"/>
      <c r="AT28" s="20"/>
    </row>
    <row r="29" spans="1:46" s="18" customFormat="1" ht="32.25" customHeight="1" x14ac:dyDescent="0.3">
      <c r="A29" s="76">
        <v>24</v>
      </c>
      <c r="B29" s="13" t="s">
        <v>56</v>
      </c>
      <c r="C29" s="13" t="s">
        <v>19</v>
      </c>
      <c r="D29" s="14" t="s">
        <v>20</v>
      </c>
      <c r="E29" s="13" t="s">
        <v>37</v>
      </c>
      <c r="F29" s="15" t="s">
        <v>67</v>
      </c>
      <c r="G29" s="16" t="s">
        <v>68</v>
      </c>
      <c r="H29" s="13" t="s">
        <v>14</v>
      </c>
      <c r="I29" s="13">
        <v>30</v>
      </c>
      <c r="J29" s="13">
        <v>20</v>
      </c>
      <c r="K29" s="22">
        <v>50</v>
      </c>
      <c r="L29" s="13">
        <v>0</v>
      </c>
      <c r="M29" s="13">
        <v>0</v>
      </c>
      <c r="N29" s="17">
        <f t="shared" si="1"/>
        <v>100</v>
      </c>
      <c r="O29" s="13"/>
      <c r="P29" s="13"/>
      <c r="Q29" s="13"/>
      <c r="R29" s="13"/>
      <c r="S29" s="4"/>
      <c r="T29" s="4"/>
      <c r="U29" s="4"/>
      <c r="V29" s="4"/>
      <c r="W29" s="4"/>
      <c r="X29" s="4"/>
      <c r="Y29" s="4"/>
      <c r="Z29" s="4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 spans="1:46" s="18" customFormat="1" ht="32.25" customHeight="1" x14ac:dyDescent="0.3">
      <c r="A30" s="76">
        <v>25</v>
      </c>
      <c r="B30" s="13" t="s">
        <v>56</v>
      </c>
      <c r="C30" s="13" t="s">
        <v>19</v>
      </c>
      <c r="D30" s="14" t="s">
        <v>20</v>
      </c>
      <c r="E30" s="13" t="s">
        <v>37</v>
      </c>
      <c r="F30" s="15" t="s">
        <v>228</v>
      </c>
      <c r="G30" s="16" t="s">
        <v>60</v>
      </c>
      <c r="H30" s="13" t="s">
        <v>12</v>
      </c>
      <c r="I30" s="22">
        <v>50</v>
      </c>
      <c r="J30" s="13">
        <v>0</v>
      </c>
      <c r="K30" s="13">
        <v>30</v>
      </c>
      <c r="L30" s="13">
        <v>20</v>
      </c>
      <c r="M30" s="13">
        <v>0</v>
      </c>
      <c r="N30" s="17">
        <f t="shared" si="1"/>
        <v>100</v>
      </c>
      <c r="O30" s="38"/>
      <c r="P30" s="38"/>
      <c r="Q30" s="38"/>
      <c r="R30" s="38"/>
      <c r="S30" s="4"/>
      <c r="T30" s="4"/>
      <c r="U30" s="4"/>
      <c r="V30" s="4"/>
      <c r="W30" s="4"/>
      <c r="X30" s="4"/>
      <c r="Y30" s="4"/>
      <c r="Z30" s="4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19"/>
      <c r="AL30" s="19"/>
      <c r="AM30" s="19"/>
      <c r="AN30" s="19"/>
      <c r="AO30" s="19"/>
      <c r="AP30" s="19"/>
      <c r="AQ30" s="19"/>
      <c r="AR30" s="19"/>
      <c r="AS30" s="19"/>
      <c r="AT30" s="19"/>
    </row>
    <row r="31" spans="1:46" s="18" customFormat="1" ht="32.25" customHeight="1" x14ac:dyDescent="0.3">
      <c r="A31" s="76">
        <v>26</v>
      </c>
      <c r="B31" s="13" t="s">
        <v>56</v>
      </c>
      <c r="C31" s="13" t="s">
        <v>19</v>
      </c>
      <c r="D31" s="14" t="s">
        <v>58</v>
      </c>
      <c r="E31" s="13" t="s">
        <v>37</v>
      </c>
      <c r="F31" s="16" t="s">
        <v>71</v>
      </c>
      <c r="G31" s="16" t="s">
        <v>72</v>
      </c>
      <c r="H31" s="13" t="s">
        <v>13</v>
      </c>
      <c r="I31" s="13">
        <v>0</v>
      </c>
      <c r="J31" s="22">
        <v>50</v>
      </c>
      <c r="K31" s="13">
        <v>20</v>
      </c>
      <c r="L31" s="13">
        <v>30</v>
      </c>
      <c r="M31" s="13">
        <v>0</v>
      </c>
      <c r="N31" s="17">
        <f t="shared" si="1"/>
        <v>100</v>
      </c>
      <c r="O31" s="38"/>
      <c r="P31" s="38"/>
      <c r="Q31" s="38"/>
      <c r="R31" s="38"/>
      <c r="S31" s="4"/>
      <c r="T31" s="4"/>
      <c r="U31" s="4"/>
      <c r="V31" s="4"/>
      <c r="W31" s="4"/>
      <c r="X31" s="4"/>
      <c r="Y31" s="4"/>
      <c r="Z31" s="4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19"/>
      <c r="AL31" s="19"/>
      <c r="AM31" s="19"/>
      <c r="AN31" s="19"/>
      <c r="AO31" s="19"/>
      <c r="AP31" s="19"/>
      <c r="AQ31" s="19"/>
      <c r="AR31" s="19"/>
      <c r="AS31" s="19"/>
      <c r="AT31" s="19"/>
    </row>
    <row r="32" spans="1:46" s="18" customFormat="1" ht="32.25" customHeight="1" x14ac:dyDescent="0.3">
      <c r="A32" s="76">
        <v>27</v>
      </c>
      <c r="B32" s="13" t="s">
        <v>56</v>
      </c>
      <c r="C32" s="13" t="s">
        <v>19</v>
      </c>
      <c r="D32" s="13" t="s">
        <v>20</v>
      </c>
      <c r="E32" s="13" t="s">
        <v>37</v>
      </c>
      <c r="F32" s="15" t="s">
        <v>63</v>
      </c>
      <c r="G32" s="16" t="s">
        <v>64</v>
      </c>
      <c r="H32" s="13" t="s">
        <v>14</v>
      </c>
      <c r="I32" s="13">
        <v>30</v>
      </c>
      <c r="J32" s="13">
        <v>0</v>
      </c>
      <c r="K32" s="22">
        <v>70</v>
      </c>
      <c r="L32" s="13">
        <v>0</v>
      </c>
      <c r="M32" s="13">
        <v>0</v>
      </c>
      <c r="N32" s="17">
        <f t="shared" si="1"/>
        <v>100</v>
      </c>
      <c r="O32" s="13"/>
      <c r="P32" s="13"/>
      <c r="Q32" s="13"/>
      <c r="R32" s="13"/>
      <c r="S32" s="4"/>
      <c r="T32" s="4"/>
      <c r="U32" s="4"/>
      <c r="V32" s="4"/>
      <c r="W32" s="4"/>
      <c r="X32" s="4"/>
      <c r="Y32" s="4"/>
      <c r="Z32" s="4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 spans="1:52" s="18" customFormat="1" ht="32.25" customHeight="1" x14ac:dyDescent="0.3">
      <c r="A33" s="76">
        <v>28</v>
      </c>
      <c r="B33" s="13" t="s">
        <v>56</v>
      </c>
      <c r="C33" s="13" t="s">
        <v>19</v>
      </c>
      <c r="D33" s="14" t="s">
        <v>20</v>
      </c>
      <c r="E33" s="13" t="s">
        <v>37</v>
      </c>
      <c r="F33" s="15" t="s">
        <v>65</v>
      </c>
      <c r="G33" s="16" t="s">
        <v>66</v>
      </c>
      <c r="H33" s="13" t="s">
        <v>14</v>
      </c>
      <c r="I33" s="13">
        <v>30</v>
      </c>
      <c r="J33" s="13">
        <v>0</v>
      </c>
      <c r="K33" s="22">
        <v>50</v>
      </c>
      <c r="L33" s="13">
        <v>20</v>
      </c>
      <c r="M33" s="13">
        <v>0</v>
      </c>
      <c r="N33" s="17">
        <f t="shared" si="1"/>
        <v>100</v>
      </c>
      <c r="O33" s="38"/>
      <c r="P33" s="38"/>
      <c r="Q33" s="38"/>
      <c r="R33" s="38"/>
      <c r="S33" s="4"/>
      <c r="T33" s="4"/>
      <c r="U33" s="4"/>
      <c r="V33" s="4"/>
      <c r="W33" s="4"/>
      <c r="X33" s="4"/>
      <c r="Y33" s="4"/>
      <c r="Z33" s="4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19"/>
      <c r="AL33" s="19"/>
      <c r="AM33" s="19"/>
      <c r="AN33" s="19"/>
      <c r="AO33" s="19"/>
      <c r="AP33" s="19"/>
      <c r="AQ33" s="19"/>
      <c r="AR33" s="19"/>
      <c r="AS33" s="19"/>
      <c r="AT33" s="19"/>
    </row>
    <row r="34" spans="1:52" s="18" customFormat="1" ht="32.25" customHeight="1" x14ac:dyDescent="0.3">
      <c r="A34" s="76">
        <v>29</v>
      </c>
      <c r="B34" s="13" t="s">
        <v>56</v>
      </c>
      <c r="C34" s="13" t="s">
        <v>19</v>
      </c>
      <c r="D34" s="14" t="s">
        <v>20</v>
      </c>
      <c r="E34" s="13" t="s">
        <v>37</v>
      </c>
      <c r="F34" s="15" t="s">
        <v>61</v>
      </c>
      <c r="G34" s="79" t="s">
        <v>62</v>
      </c>
      <c r="H34" s="13" t="s">
        <v>14</v>
      </c>
      <c r="I34" s="13">
        <v>0</v>
      </c>
      <c r="J34" s="13">
        <v>0</v>
      </c>
      <c r="K34" s="22">
        <v>60</v>
      </c>
      <c r="L34" s="13">
        <v>40</v>
      </c>
      <c r="M34" s="13">
        <v>0</v>
      </c>
      <c r="N34" s="17">
        <f t="shared" si="1"/>
        <v>100</v>
      </c>
      <c r="O34" s="25"/>
      <c r="P34" s="25"/>
      <c r="Q34" s="25"/>
      <c r="R34" s="13"/>
      <c r="S34" s="4"/>
      <c r="T34" s="4"/>
      <c r="U34" s="4"/>
      <c r="V34" s="4"/>
      <c r="W34" s="4"/>
      <c r="X34" s="4"/>
      <c r="Y34" s="4"/>
      <c r="Z34" s="4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 spans="1:52" s="18" customFormat="1" ht="32.25" customHeight="1" x14ac:dyDescent="0.3">
      <c r="A35" s="76">
        <v>30</v>
      </c>
      <c r="B35" s="13" t="s">
        <v>78</v>
      </c>
      <c r="C35" s="13" t="s">
        <v>19</v>
      </c>
      <c r="D35" s="14" t="s">
        <v>24</v>
      </c>
      <c r="E35" s="13" t="s">
        <v>147</v>
      </c>
      <c r="F35" s="15" t="s">
        <v>150</v>
      </c>
      <c r="G35" s="16" t="s">
        <v>151</v>
      </c>
      <c r="H35" s="13" t="s">
        <v>14</v>
      </c>
      <c r="I35" s="13">
        <v>10</v>
      </c>
      <c r="J35" s="13">
        <v>20</v>
      </c>
      <c r="K35" s="22">
        <v>40</v>
      </c>
      <c r="L35" s="13">
        <v>20</v>
      </c>
      <c r="M35" s="13">
        <v>10</v>
      </c>
      <c r="N35" s="17">
        <f t="shared" si="1"/>
        <v>100</v>
      </c>
      <c r="O35" s="38"/>
      <c r="P35" s="38"/>
      <c r="Q35" s="38"/>
      <c r="R35" s="38"/>
      <c r="S35" s="4"/>
      <c r="T35" s="4"/>
      <c r="U35" s="4"/>
      <c r="V35" s="4"/>
      <c r="W35" s="4"/>
      <c r="X35" s="4"/>
      <c r="Y35" s="4"/>
      <c r="Z35" s="4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19"/>
      <c r="AL35" s="19"/>
      <c r="AM35" s="19"/>
      <c r="AN35" s="19"/>
      <c r="AO35" s="19"/>
      <c r="AP35" s="19"/>
      <c r="AQ35" s="19"/>
      <c r="AR35" s="19"/>
      <c r="AS35" s="19"/>
      <c r="AT35" s="19"/>
    </row>
    <row r="36" spans="1:52" s="18" customFormat="1" ht="32.25" customHeight="1" x14ac:dyDescent="0.3">
      <c r="A36" s="76">
        <v>31</v>
      </c>
      <c r="B36" s="4" t="s">
        <v>78</v>
      </c>
      <c r="C36" s="4" t="s">
        <v>23</v>
      </c>
      <c r="D36" s="5" t="s">
        <v>57</v>
      </c>
      <c r="E36" s="4" t="s">
        <v>96</v>
      </c>
      <c r="F36" s="4" t="s">
        <v>229</v>
      </c>
      <c r="G36" s="6" t="s">
        <v>230</v>
      </c>
      <c r="H36" s="4" t="s">
        <v>13</v>
      </c>
      <c r="I36" s="4">
        <v>30</v>
      </c>
      <c r="J36" s="12">
        <v>40</v>
      </c>
      <c r="K36" s="4">
        <v>30</v>
      </c>
      <c r="L36" s="4">
        <v>0</v>
      </c>
      <c r="M36" s="4">
        <v>0</v>
      </c>
      <c r="N36" s="7">
        <f t="shared" si="1"/>
        <v>100</v>
      </c>
      <c r="O36" s="42"/>
      <c r="P36" s="42"/>
      <c r="Q36" s="42"/>
      <c r="R36" s="42"/>
      <c r="S36" s="4"/>
      <c r="T36" s="4"/>
      <c r="U36" s="4"/>
      <c r="V36" s="4"/>
      <c r="W36" s="4"/>
      <c r="X36" s="4"/>
      <c r="Y36" s="4"/>
      <c r="Z36" s="4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24"/>
      <c r="AL36" s="24"/>
      <c r="AM36" s="24"/>
      <c r="AN36" s="24"/>
      <c r="AO36" s="24"/>
      <c r="AP36" s="24"/>
      <c r="AQ36" s="24"/>
      <c r="AR36" s="24"/>
      <c r="AS36" s="24"/>
      <c r="AT36" s="24"/>
    </row>
    <row r="37" spans="1:52" s="18" customFormat="1" ht="27" x14ac:dyDescent="0.3">
      <c r="A37" s="76">
        <v>32</v>
      </c>
      <c r="B37" s="13" t="s">
        <v>78</v>
      </c>
      <c r="C37" s="13" t="s">
        <v>19</v>
      </c>
      <c r="D37" s="14" t="s">
        <v>20</v>
      </c>
      <c r="E37" s="13" t="s">
        <v>231</v>
      </c>
      <c r="F37" s="15" t="s">
        <v>134</v>
      </c>
      <c r="G37" s="16" t="s">
        <v>135</v>
      </c>
      <c r="H37" s="13" t="s">
        <v>12</v>
      </c>
      <c r="I37" s="22">
        <v>60</v>
      </c>
      <c r="J37" s="13">
        <v>0</v>
      </c>
      <c r="K37" s="13">
        <v>30</v>
      </c>
      <c r="L37" s="13">
        <v>10</v>
      </c>
      <c r="M37" s="13">
        <v>0</v>
      </c>
      <c r="N37" s="17">
        <f t="shared" si="1"/>
        <v>100</v>
      </c>
      <c r="O37" s="42"/>
      <c r="P37" s="42"/>
      <c r="Q37" s="42"/>
      <c r="R37" s="42"/>
      <c r="S37" s="4"/>
      <c r="T37" s="4"/>
      <c r="U37" s="4"/>
      <c r="V37" s="4"/>
      <c r="W37" s="4"/>
      <c r="X37" s="4"/>
      <c r="Y37" s="4"/>
      <c r="Z37" s="4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24"/>
      <c r="AL37" s="24"/>
      <c r="AM37" s="24"/>
      <c r="AN37" s="24"/>
      <c r="AO37" s="24"/>
      <c r="AP37" s="24"/>
      <c r="AQ37" s="24"/>
      <c r="AR37" s="24"/>
      <c r="AS37" s="24"/>
      <c r="AT37" s="24"/>
    </row>
    <row r="38" spans="1:52" s="18" customFormat="1" ht="40.5" x14ac:dyDescent="0.3">
      <c r="A38" s="76">
        <v>33</v>
      </c>
      <c r="B38" s="13" t="s">
        <v>78</v>
      </c>
      <c r="C38" s="13" t="s">
        <v>19</v>
      </c>
      <c r="D38" s="14" t="s">
        <v>24</v>
      </c>
      <c r="E38" s="13" t="s">
        <v>157</v>
      </c>
      <c r="F38" s="16" t="s">
        <v>158</v>
      </c>
      <c r="G38" s="16" t="s">
        <v>159</v>
      </c>
      <c r="H38" s="13" t="s">
        <v>14</v>
      </c>
      <c r="I38" s="13">
        <v>20</v>
      </c>
      <c r="J38" s="13">
        <v>0</v>
      </c>
      <c r="K38" s="22">
        <v>60</v>
      </c>
      <c r="L38" s="13">
        <v>20</v>
      </c>
      <c r="M38" s="13">
        <v>0</v>
      </c>
      <c r="N38" s="17">
        <f t="shared" si="1"/>
        <v>100</v>
      </c>
      <c r="O38" s="42"/>
      <c r="P38" s="42"/>
      <c r="Q38" s="42"/>
      <c r="R38" s="42"/>
      <c r="S38" s="4"/>
      <c r="T38" s="4"/>
      <c r="U38" s="4"/>
      <c r="V38" s="4"/>
      <c r="W38" s="4"/>
      <c r="X38" s="4"/>
      <c r="Y38" s="4"/>
      <c r="Z38" s="4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24"/>
      <c r="AL38" s="24"/>
      <c r="AM38" s="24"/>
      <c r="AN38" s="24"/>
      <c r="AO38" s="24"/>
      <c r="AP38" s="24"/>
      <c r="AQ38" s="24"/>
      <c r="AR38" s="24"/>
      <c r="AS38" s="24"/>
      <c r="AT38" s="24"/>
    </row>
    <row r="39" spans="1:52" s="18" customFormat="1" ht="32.25" customHeight="1" x14ac:dyDescent="0.3">
      <c r="A39" s="76">
        <v>34</v>
      </c>
      <c r="B39" s="4" t="s">
        <v>78</v>
      </c>
      <c r="C39" s="4" t="s">
        <v>23</v>
      </c>
      <c r="D39" s="5" t="s">
        <v>107</v>
      </c>
      <c r="E39" s="13" t="s">
        <v>232</v>
      </c>
      <c r="F39" s="4" t="s">
        <v>233</v>
      </c>
      <c r="G39" s="6" t="s">
        <v>234</v>
      </c>
      <c r="H39" s="4" t="s">
        <v>15</v>
      </c>
      <c r="I39" s="4">
        <v>30</v>
      </c>
      <c r="J39" s="4">
        <v>30</v>
      </c>
      <c r="K39" s="4">
        <v>0</v>
      </c>
      <c r="L39" s="12">
        <v>40</v>
      </c>
      <c r="M39" s="4">
        <v>0</v>
      </c>
      <c r="N39" s="7">
        <f t="shared" si="1"/>
        <v>100</v>
      </c>
      <c r="O39" s="39"/>
      <c r="P39" s="39"/>
      <c r="Q39" s="39"/>
      <c r="R39" s="39"/>
      <c r="S39" s="4"/>
      <c r="T39" s="4"/>
      <c r="U39" s="4"/>
      <c r="V39" s="4"/>
      <c r="W39" s="4"/>
      <c r="X39" s="4"/>
      <c r="Y39" s="4"/>
      <c r="Z39" s="4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20"/>
      <c r="AL39" s="20"/>
      <c r="AM39" s="20"/>
      <c r="AN39" s="20"/>
      <c r="AO39" s="20"/>
      <c r="AP39" s="20"/>
      <c r="AQ39" s="20"/>
      <c r="AR39" s="20"/>
      <c r="AS39" s="20"/>
      <c r="AT39" s="20"/>
    </row>
    <row r="40" spans="1:52" s="18" customFormat="1" ht="32.25" customHeight="1" x14ac:dyDescent="0.3">
      <c r="A40" s="76">
        <v>35</v>
      </c>
      <c r="B40" s="13" t="s">
        <v>78</v>
      </c>
      <c r="C40" s="13" t="s">
        <v>19</v>
      </c>
      <c r="D40" s="14" t="s">
        <v>24</v>
      </c>
      <c r="E40" s="13" t="s">
        <v>235</v>
      </c>
      <c r="F40" s="16" t="s">
        <v>85</v>
      </c>
      <c r="G40" s="16" t="s">
        <v>86</v>
      </c>
      <c r="H40" s="13" t="s">
        <v>16</v>
      </c>
      <c r="I40" s="13">
        <v>20</v>
      </c>
      <c r="J40" s="13">
        <v>20</v>
      </c>
      <c r="K40" s="13">
        <v>0</v>
      </c>
      <c r="L40" s="13">
        <v>0</v>
      </c>
      <c r="M40" s="22">
        <v>60</v>
      </c>
      <c r="N40" s="17">
        <f t="shared" si="1"/>
        <v>100</v>
      </c>
      <c r="O40" s="39"/>
      <c r="P40" s="39"/>
      <c r="Q40" s="39"/>
      <c r="R40" s="39"/>
      <c r="S40" s="4"/>
      <c r="T40" s="4"/>
      <c r="U40" s="4"/>
      <c r="V40" s="4"/>
      <c r="W40" s="4"/>
      <c r="X40" s="4"/>
      <c r="Y40" s="4"/>
      <c r="Z40" s="4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20"/>
      <c r="AL40" s="20"/>
      <c r="AM40" s="20"/>
      <c r="AN40" s="20"/>
      <c r="AO40" s="20"/>
      <c r="AP40" s="20"/>
      <c r="AQ40" s="20"/>
      <c r="AR40" s="20"/>
      <c r="AS40" s="20"/>
      <c r="AT40" s="20"/>
    </row>
    <row r="41" spans="1:52" s="18" customFormat="1" ht="32.25" customHeight="1" x14ac:dyDescent="0.3">
      <c r="A41" s="76">
        <v>36</v>
      </c>
      <c r="B41" s="13" t="s">
        <v>78</v>
      </c>
      <c r="C41" s="13" t="s">
        <v>19</v>
      </c>
      <c r="D41" s="14" t="s">
        <v>75</v>
      </c>
      <c r="E41" s="13" t="s">
        <v>235</v>
      </c>
      <c r="F41" s="15" t="s">
        <v>89</v>
      </c>
      <c r="G41" s="16" t="s">
        <v>90</v>
      </c>
      <c r="H41" s="13" t="s">
        <v>16</v>
      </c>
      <c r="I41" s="13">
        <v>0</v>
      </c>
      <c r="J41" s="13">
        <v>0</v>
      </c>
      <c r="K41" s="13">
        <v>0</v>
      </c>
      <c r="L41" s="13">
        <v>30</v>
      </c>
      <c r="M41" s="22">
        <v>70</v>
      </c>
      <c r="N41" s="17">
        <f t="shared" si="1"/>
        <v>100</v>
      </c>
      <c r="O41" s="39"/>
      <c r="P41" s="39"/>
      <c r="Q41" s="39"/>
      <c r="R41" s="39"/>
      <c r="S41" s="4"/>
      <c r="T41" s="4"/>
      <c r="U41" s="4"/>
      <c r="V41" s="4"/>
      <c r="W41" s="4"/>
      <c r="X41" s="4"/>
      <c r="Y41" s="4"/>
      <c r="Z41" s="4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20"/>
      <c r="AL41" s="20"/>
      <c r="AM41" s="20"/>
      <c r="AN41" s="20"/>
      <c r="AO41" s="20"/>
      <c r="AP41" s="20"/>
      <c r="AQ41" s="20"/>
      <c r="AR41" s="20"/>
      <c r="AS41" s="20"/>
      <c r="AT41" s="20"/>
    </row>
    <row r="42" spans="1:52" s="18" customFormat="1" ht="32.25" customHeight="1" x14ac:dyDescent="0.3">
      <c r="A42" s="76">
        <v>37</v>
      </c>
      <c r="B42" s="13" t="s">
        <v>78</v>
      </c>
      <c r="C42" s="13" t="s">
        <v>23</v>
      </c>
      <c r="D42" s="14" t="s">
        <v>20</v>
      </c>
      <c r="E42" s="13" t="s">
        <v>138</v>
      </c>
      <c r="F42" s="15" t="s">
        <v>128</v>
      </c>
      <c r="G42" s="16" t="s">
        <v>129</v>
      </c>
      <c r="H42" s="13" t="s">
        <v>14</v>
      </c>
      <c r="I42" s="13">
        <v>20</v>
      </c>
      <c r="J42" s="13">
        <v>20</v>
      </c>
      <c r="K42" s="22">
        <v>60</v>
      </c>
      <c r="L42" s="13">
        <v>0</v>
      </c>
      <c r="M42" s="13">
        <v>0</v>
      </c>
      <c r="N42" s="17">
        <f t="shared" si="1"/>
        <v>100</v>
      </c>
      <c r="O42" s="39"/>
      <c r="P42" s="39"/>
      <c r="Q42" s="39"/>
      <c r="R42" s="39"/>
      <c r="S42" s="4"/>
      <c r="T42" s="4"/>
      <c r="U42" s="4"/>
      <c r="V42" s="4"/>
      <c r="W42" s="4"/>
      <c r="X42" s="4"/>
      <c r="Y42" s="4"/>
      <c r="Z42" s="4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20"/>
      <c r="AL42" s="20"/>
      <c r="AM42" s="20"/>
      <c r="AN42" s="20"/>
      <c r="AO42" s="20"/>
      <c r="AP42" s="20"/>
      <c r="AQ42" s="20"/>
      <c r="AR42" s="20"/>
      <c r="AS42" s="20"/>
      <c r="AT42" s="20"/>
    </row>
    <row r="43" spans="1:52" s="18" customFormat="1" ht="32.25" customHeight="1" x14ac:dyDescent="0.3">
      <c r="A43" s="76">
        <v>38</v>
      </c>
      <c r="B43" s="13" t="s">
        <v>78</v>
      </c>
      <c r="C43" s="13" t="s">
        <v>23</v>
      </c>
      <c r="D43" s="14" t="s">
        <v>20</v>
      </c>
      <c r="E43" s="13" t="s">
        <v>138</v>
      </c>
      <c r="F43" s="15" t="s">
        <v>127</v>
      </c>
      <c r="G43" s="16" t="s">
        <v>236</v>
      </c>
      <c r="H43" s="13" t="s">
        <v>14</v>
      </c>
      <c r="I43" s="13">
        <v>10</v>
      </c>
      <c r="J43" s="13">
        <v>10</v>
      </c>
      <c r="K43" s="22">
        <v>80</v>
      </c>
      <c r="L43" s="13">
        <v>0</v>
      </c>
      <c r="M43" s="13">
        <v>0</v>
      </c>
      <c r="N43" s="17">
        <f t="shared" si="1"/>
        <v>100</v>
      </c>
      <c r="O43" s="39"/>
      <c r="P43" s="39"/>
      <c r="Q43" s="39"/>
      <c r="R43" s="39"/>
      <c r="S43" s="4"/>
      <c r="T43" s="4"/>
      <c r="U43" s="4"/>
      <c r="V43" s="4"/>
      <c r="W43" s="4"/>
      <c r="X43" s="4"/>
      <c r="Y43" s="4"/>
      <c r="Z43" s="4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20"/>
      <c r="AL43" s="20"/>
      <c r="AM43" s="20"/>
      <c r="AN43" s="20"/>
      <c r="AO43" s="20"/>
      <c r="AP43" s="20"/>
      <c r="AQ43" s="20"/>
      <c r="AR43" s="20"/>
      <c r="AS43" s="20"/>
      <c r="AT43" s="20"/>
    </row>
    <row r="44" spans="1:52" s="18" customFormat="1" ht="32.25" customHeight="1" x14ac:dyDescent="0.3">
      <c r="A44" s="76">
        <v>39</v>
      </c>
      <c r="B44" s="13" t="s">
        <v>78</v>
      </c>
      <c r="C44" s="13" t="s">
        <v>23</v>
      </c>
      <c r="D44" s="13" t="s">
        <v>75</v>
      </c>
      <c r="E44" s="13" t="s">
        <v>219</v>
      </c>
      <c r="F44" s="16" t="s">
        <v>99</v>
      </c>
      <c r="G44" s="16" t="s">
        <v>100</v>
      </c>
      <c r="H44" s="13" t="s">
        <v>16</v>
      </c>
      <c r="I44" s="27">
        <v>40</v>
      </c>
      <c r="J44" s="27">
        <v>0</v>
      </c>
      <c r="K44" s="27">
        <v>0</v>
      </c>
      <c r="L44" s="27">
        <v>0</v>
      </c>
      <c r="M44" s="22">
        <v>60</v>
      </c>
      <c r="N44" s="17">
        <f t="shared" si="1"/>
        <v>100</v>
      </c>
      <c r="O44" s="39"/>
      <c r="P44" s="39"/>
      <c r="Q44" s="39"/>
      <c r="R44" s="39"/>
      <c r="S44" s="4"/>
      <c r="T44" s="4"/>
      <c r="U44" s="4"/>
      <c r="V44" s="4"/>
      <c r="W44" s="4"/>
      <c r="X44" s="4"/>
      <c r="Y44" s="4"/>
      <c r="Z44" s="4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20"/>
      <c r="AL44" s="20"/>
      <c r="AM44" s="20"/>
      <c r="AN44" s="20"/>
      <c r="AO44" s="20"/>
      <c r="AP44" s="20"/>
      <c r="AQ44" s="20"/>
      <c r="AR44" s="20"/>
      <c r="AS44" s="20"/>
      <c r="AT44" s="20"/>
    </row>
    <row r="45" spans="1:52" s="21" customFormat="1" ht="32.25" customHeight="1" x14ac:dyDescent="0.3">
      <c r="A45" s="76">
        <v>40</v>
      </c>
      <c r="B45" s="13" t="s">
        <v>78</v>
      </c>
      <c r="C45" s="13" t="s">
        <v>23</v>
      </c>
      <c r="D45" s="14" t="s">
        <v>75</v>
      </c>
      <c r="E45" s="13" t="s">
        <v>219</v>
      </c>
      <c r="F45" s="15" t="s">
        <v>97</v>
      </c>
      <c r="G45" s="16" t="s">
        <v>98</v>
      </c>
      <c r="H45" s="13" t="s">
        <v>16</v>
      </c>
      <c r="I45" s="13">
        <v>30</v>
      </c>
      <c r="J45" s="13">
        <v>0</v>
      </c>
      <c r="K45" s="13">
        <v>0</v>
      </c>
      <c r="L45" s="13">
        <v>0</v>
      </c>
      <c r="M45" s="22">
        <v>70</v>
      </c>
      <c r="N45" s="17">
        <f t="shared" si="1"/>
        <v>100</v>
      </c>
      <c r="O45" s="41"/>
      <c r="P45" s="41"/>
      <c r="Q45" s="41"/>
      <c r="R45" s="41"/>
      <c r="S45" s="4"/>
      <c r="T45" s="4"/>
      <c r="U45" s="4"/>
      <c r="V45" s="4"/>
      <c r="W45" s="4"/>
      <c r="X45" s="4"/>
      <c r="Y45" s="4"/>
      <c r="Z45" s="4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</row>
    <row r="46" spans="1:52" s="23" customFormat="1" ht="32.25" customHeight="1" x14ac:dyDescent="0.3">
      <c r="A46" s="76">
        <v>41</v>
      </c>
      <c r="B46" s="13" t="s">
        <v>78</v>
      </c>
      <c r="C46" s="13" t="s">
        <v>23</v>
      </c>
      <c r="D46" s="14" t="s">
        <v>95</v>
      </c>
      <c r="E46" s="13" t="s">
        <v>96</v>
      </c>
      <c r="F46" s="16" t="s">
        <v>237</v>
      </c>
      <c r="G46" s="16" t="s">
        <v>238</v>
      </c>
      <c r="H46" s="25" t="s">
        <v>14</v>
      </c>
      <c r="I46" s="25">
        <v>10</v>
      </c>
      <c r="J46" s="25">
        <v>30</v>
      </c>
      <c r="K46" s="77">
        <v>35</v>
      </c>
      <c r="L46" s="25">
        <v>25</v>
      </c>
      <c r="M46" s="25">
        <v>0</v>
      </c>
      <c r="N46" s="17">
        <f t="shared" si="1"/>
        <v>100</v>
      </c>
      <c r="O46" s="43"/>
      <c r="P46" s="43"/>
      <c r="Q46" s="43"/>
      <c r="R46" s="43"/>
      <c r="S46" s="4"/>
      <c r="T46" s="4"/>
      <c r="U46" s="4"/>
      <c r="V46" s="4"/>
      <c r="W46" s="4"/>
      <c r="X46" s="4"/>
      <c r="Y46" s="4"/>
      <c r="Z46" s="4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</row>
    <row r="47" spans="1:52" s="23" customFormat="1" ht="32.25" customHeight="1" x14ac:dyDescent="0.3">
      <c r="A47" s="76">
        <v>42</v>
      </c>
      <c r="B47" s="4" t="s">
        <v>78</v>
      </c>
      <c r="C47" s="4" t="s">
        <v>19</v>
      </c>
      <c r="D47" s="5" t="s">
        <v>57</v>
      </c>
      <c r="E47" s="4" t="s">
        <v>160</v>
      </c>
      <c r="F47" s="6" t="s">
        <v>163</v>
      </c>
      <c r="G47" s="6" t="s">
        <v>164</v>
      </c>
      <c r="H47" s="4" t="s">
        <v>14</v>
      </c>
      <c r="I47" s="4">
        <v>0</v>
      </c>
      <c r="J47" s="4">
        <v>40</v>
      </c>
      <c r="K47" s="12">
        <v>60</v>
      </c>
      <c r="L47" s="4">
        <v>0</v>
      </c>
      <c r="M47" s="4">
        <v>0</v>
      </c>
      <c r="N47" s="7">
        <f t="shared" si="1"/>
        <v>100</v>
      </c>
      <c r="O47" s="13"/>
      <c r="P47" s="13"/>
      <c r="Q47" s="13"/>
      <c r="R47" s="13"/>
      <c r="S47" s="4"/>
      <c r="T47" s="4"/>
      <c r="U47" s="4"/>
      <c r="V47" s="4"/>
      <c r="W47" s="4"/>
      <c r="X47" s="4"/>
      <c r="Y47" s="4"/>
      <c r="Z47" s="4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26"/>
      <c r="AV47" s="26"/>
      <c r="AW47" s="26"/>
      <c r="AX47" s="26"/>
      <c r="AY47" s="26"/>
      <c r="AZ47" s="26"/>
    </row>
    <row r="48" spans="1:52" s="23" customFormat="1" ht="32.25" customHeight="1" x14ac:dyDescent="0.3">
      <c r="A48" s="76">
        <v>43</v>
      </c>
      <c r="B48" s="13" t="s">
        <v>78</v>
      </c>
      <c r="C48" s="13" t="s">
        <v>19</v>
      </c>
      <c r="D48" s="14" t="s">
        <v>57</v>
      </c>
      <c r="E48" s="13" t="s">
        <v>160</v>
      </c>
      <c r="F48" s="16" t="s">
        <v>161</v>
      </c>
      <c r="G48" s="16" t="s">
        <v>162</v>
      </c>
      <c r="H48" s="13" t="s">
        <v>13</v>
      </c>
      <c r="I48" s="13">
        <v>0</v>
      </c>
      <c r="J48" s="22">
        <v>60</v>
      </c>
      <c r="K48" s="13">
        <v>40</v>
      </c>
      <c r="L48" s="13">
        <v>0</v>
      </c>
      <c r="M48" s="13">
        <v>0</v>
      </c>
      <c r="N48" s="17">
        <f t="shared" si="1"/>
        <v>100</v>
      </c>
      <c r="O48" s="43"/>
      <c r="P48" s="43"/>
      <c r="Q48" s="43"/>
      <c r="R48" s="43"/>
      <c r="S48" s="4"/>
      <c r="T48" s="4"/>
      <c r="U48" s="4"/>
      <c r="V48" s="4"/>
      <c r="W48" s="4"/>
      <c r="X48" s="4"/>
      <c r="Y48" s="4"/>
      <c r="Z48" s="4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</row>
    <row r="49" spans="1:52" s="23" customFormat="1" ht="32.25" customHeight="1" x14ac:dyDescent="0.3">
      <c r="A49" s="76">
        <v>44</v>
      </c>
      <c r="B49" s="13" t="s">
        <v>78</v>
      </c>
      <c r="C49" s="13" t="s">
        <v>19</v>
      </c>
      <c r="D49" s="14" t="s">
        <v>20</v>
      </c>
      <c r="E49" s="13" t="s">
        <v>53</v>
      </c>
      <c r="F49" s="15" t="s">
        <v>239</v>
      </c>
      <c r="G49" s="16" t="s">
        <v>114</v>
      </c>
      <c r="H49" s="13" t="s">
        <v>14</v>
      </c>
      <c r="I49" s="13">
        <v>30</v>
      </c>
      <c r="J49" s="13">
        <v>20</v>
      </c>
      <c r="K49" s="22">
        <v>50</v>
      </c>
      <c r="L49" s="13">
        <v>0</v>
      </c>
      <c r="M49" s="13">
        <v>0</v>
      </c>
      <c r="N49" s="17">
        <f t="shared" si="1"/>
        <v>100</v>
      </c>
      <c r="O49" s="43"/>
      <c r="P49" s="43"/>
      <c r="Q49" s="43"/>
      <c r="R49" s="43"/>
      <c r="S49" s="4"/>
      <c r="T49" s="4"/>
      <c r="U49" s="4"/>
      <c r="V49" s="4"/>
      <c r="W49" s="4"/>
      <c r="X49" s="4"/>
      <c r="Y49" s="4"/>
      <c r="Z49" s="4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</row>
    <row r="50" spans="1:52" s="23" customFormat="1" ht="32.25" customHeight="1" x14ac:dyDescent="0.3">
      <c r="A50" s="76">
        <v>45</v>
      </c>
      <c r="B50" s="13" t="s">
        <v>78</v>
      </c>
      <c r="C50" s="13" t="s">
        <v>19</v>
      </c>
      <c r="D50" s="14" t="s">
        <v>20</v>
      </c>
      <c r="E50" s="13" t="s">
        <v>138</v>
      </c>
      <c r="F50" s="15" t="s">
        <v>132</v>
      </c>
      <c r="G50" s="16" t="s">
        <v>240</v>
      </c>
      <c r="H50" s="13" t="s">
        <v>14</v>
      </c>
      <c r="I50" s="13">
        <v>10</v>
      </c>
      <c r="J50" s="13">
        <v>10</v>
      </c>
      <c r="K50" s="22">
        <v>80</v>
      </c>
      <c r="L50" s="13">
        <v>0</v>
      </c>
      <c r="M50" s="13">
        <v>0</v>
      </c>
      <c r="N50" s="17">
        <f t="shared" si="1"/>
        <v>100</v>
      </c>
      <c r="O50" s="38"/>
      <c r="P50" s="38"/>
      <c r="Q50" s="38"/>
      <c r="R50" s="38"/>
      <c r="S50" s="4"/>
      <c r="T50" s="4"/>
      <c r="U50" s="4"/>
      <c r="V50" s="4"/>
      <c r="W50" s="4"/>
      <c r="X50" s="4"/>
      <c r="Y50" s="4"/>
      <c r="Z50" s="4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26"/>
      <c r="AV50" s="26"/>
      <c r="AW50" s="26"/>
      <c r="AX50" s="26"/>
      <c r="AY50" s="26"/>
      <c r="AZ50" s="26"/>
    </row>
    <row r="51" spans="1:52" s="23" customFormat="1" ht="32.25" customHeight="1" x14ac:dyDescent="0.3">
      <c r="A51" s="76">
        <v>46</v>
      </c>
      <c r="B51" s="13" t="s">
        <v>78</v>
      </c>
      <c r="C51" s="13" t="s">
        <v>19</v>
      </c>
      <c r="D51" s="14" t="s">
        <v>20</v>
      </c>
      <c r="E51" s="13" t="s">
        <v>115</v>
      </c>
      <c r="F51" s="16" t="s">
        <v>116</v>
      </c>
      <c r="G51" s="16" t="s">
        <v>117</v>
      </c>
      <c r="H51" s="13" t="s">
        <v>14</v>
      </c>
      <c r="I51" s="13">
        <v>0</v>
      </c>
      <c r="J51" s="13">
        <v>20</v>
      </c>
      <c r="K51" s="22">
        <v>80</v>
      </c>
      <c r="L51" s="13">
        <v>0</v>
      </c>
      <c r="M51" s="13">
        <v>0</v>
      </c>
      <c r="N51" s="17">
        <f t="shared" si="1"/>
        <v>100</v>
      </c>
      <c r="O51" s="38"/>
      <c r="P51" s="38"/>
      <c r="Q51" s="38"/>
      <c r="R51" s="38"/>
      <c r="S51" s="4"/>
      <c r="T51" s="4"/>
      <c r="U51" s="4"/>
      <c r="V51" s="4"/>
      <c r="W51" s="4"/>
      <c r="X51" s="4"/>
      <c r="Y51" s="4"/>
      <c r="Z51" s="4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26"/>
      <c r="AV51" s="26"/>
      <c r="AW51" s="26"/>
      <c r="AX51" s="26"/>
      <c r="AY51" s="26"/>
      <c r="AZ51" s="26"/>
    </row>
    <row r="52" spans="1:52" s="23" customFormat="1" ht="32.25" customHeight="1" x14ac:dyDescent="0.3">
      <c r="A52" s="76">
        <v>47</v>
      </c>
      <c r="B52" s="13" t="s">
        <v>78</v>
      </c>
      <c r="C52" s="13" t="s">
        <v>23</v>
      </c>
      <c r="D52" s="14" t="s">
        <v>20</v>
      </c>
      <c r="E52" s="13" t="s">
        <v>118</v>
      </c>
      <c r="F52" s="15" t="s">
        <v>119</v>
      </c>
      <c r="G52" s="16" t="s">
        <v>120</v>
      </c>
      <c r="H52" s="13" t="s">
        <v>13</v>
      </c>
      <c r="I52" s="13">
        <v>20</v>
      </c>
      <c r="J52" s="22">
        <v>50</v>
      </c>
      <c r="K52" s="13">
        <v>20</v>
      </c>
      <c r="L52" s="13">
        <v>10</v>
      </c>
      <c r="M52" s="13">
        <v>0</v>
      </c>
      <c r="N52" s="17">
        <f t="shared" si="1"/>
        <v>100</v>
      </c>
      <c r="O52" s="38"/>
      <c r="P52" s="38"/>
      <c r="Q52" s="38"/>
      <c r="R52" s="38"/>
      <c r="S52" s="4"/>
      <c r="T52" s="4"/>
      <c r="U52" s="4"/>
      <c r="V52" s="4"/>
      <c r="W52" s="4"/>
      <c r="X52" s="4"/>
      <c r="Y52" s="4"/>
      <c r="Z52" s="4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26"/>
      <c r="AV52" s="26"/>
      <c r="AW52" s="26"/>
      <c r="AX52" s="26"/>
      <c r="AY52" s="26"/>
      <c r="AZ52" s="26"/>
    </row>
    <row r="53" spans="1:52" s="23" customFormat="1" ht="32.25" customHeight="1" x14ac:dyDescent="0.3">
      <c r="A53" s="76">
        <v>48</v>
      </c>
      <c r="B53" s="4" t="s">
        <v>78</v>
      </c>
      <c r="C53" s="4" t="s">
        <v>23</v>
      </c>
      <c r="D53" s="5" t="s">
        <v>107</v>
      </c>
      <c r="E53" s="4" t="s">
        <v>108</v>
      </c>
      <c r="F53" s="4" t="s">
        <v>241</v>
      </c>
      <c r="G53" s="6" t="s">
        <v>242</v>
      </c>
      <c r="H53" s="4" t="s">
        <v>12</v>
      </c>
      <c r="I53" s="12">
        <v>35</v>
      </c>
      <c r="J53" s="4">
        <v>10</v>
      </c>
      <c r="K53" s="4">
        <v>10</v>
      </c>
      <c r="L53" s="4">
        <v>20</v>
      </c>
      <c r="M53" s="4">
        <v>25</v>
      </c>
      <c r="N53" s="7">
        <f t="shared" si="1"/>
        <v>100</v>
      </c>
      <c r="O53" s="38"/>
      <c r="P53" s="38"/>
      <c r="Q53" s="38"/>
      <c r="R53" s="38"/>
      <c r="S53" s="4"/>
      <c r="T53" s="4"/>
      <c r="U53" s="4"/>
      <c r="V53" s="4"/>
      <c r="W53" s="4"/>
      <c r="X53" s="4"/>
      <c r="Y53" s="4"/>
      <c r="Z53" s="4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26"/>
      <c r="AV53" s="26"/>
      <c r="AW53" s="26"/>
      <c r="AX53" s="26"/>
      <c r="AY53" s="26"/>
      <c r="AZ53" s="26"/>
    </row>
    <row r="54" spans="1:52" s="24" customFormat="1" ht="32.25" customHeight="1" x14ac:dyDescent="0.3">
      <c r="A54" s="76">
        <v>49</v>
      </c>
      <c r="B54" s="4" t="s">
        <v>78</v>
      </c>
      <c r="C54" s="4" t="s">
        <v>23</v>
      </c>
      <c r="D54" s="5" t="s">
        <v>28</v>
      </c>
      <c r="E54" s="13" t="s">
        <v>235</v>
      </c>
      <c r="F54" s="4" t="s">
        <v>243</v>
      </c>
      <c r="G54" s="6" t="s">
        <v>244</v>
      </c>
      <c r="H54" s="4" t="s">
        <v>16</v>
      </c>
      <c r="I54" s="4">
        <v>0</v>
      </c>
      <c r="J54" s="4">
        <v>0</v>
      </c>
      <c r="K54" s="4">
        <v>0</v>
      </c>
      <c r="L54" s="4">
        <v>40</v>
      </c>
      <c r="M54" s="12">
        <v>60</v>
      </c>
      <c r="N54" s="7">
        <f t="shared" si="1"/>
        <v>100</v>
      </c>
      <c r="O54" s="38"/>
      <c r="P54" s="38"/>
      <c r="Q54" s="38"/>
      <c r="R54" s="38"/>
      <c r="S54" s="4"/>
      <c r="T54" s="4"/>
      <c r="U54" s="4"/>
      <c r="V54" s="4"/>
      <c r="W54" s="4"/>
      <c r="X54" s="4"/>
      <c r="Y54" s="4"/>
      <c r="Z54" s="4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26"/>
      <c r="AV54" s="26"/>
      <c r="AW54" s="26"/>
      <c r="AX54" s="26"/>
      <c r="AY54" s="26"/>
      <c r="AZ54" s="26"/>
    </row>
    <row r="55" spans="1:52" s="26" customFormat="1" ht="32.25" customHeight="1" x14ac:dyDescent="0.3">
      <c r="A55" s="76">
        <v>50</v>
      </c>
      <c r="B55" s="13" t="s">
        <v>78</v>
      </c>
      <c r="C55" s="13" t="s">
        <v>19</v>
      </c>
      <c r="D55" s="14" t="s">
        <v>20</v>
      </c>
      <c r="E55" s="13" t="s">
        <v>53</v>
      </c>
      <c r="F55" s="15" t="s">
        <v>245</v>
      </c>
      <c r="G55" s="16" t="s">
        <v>246</v>
      </c>
      <c r="H55" s="13" t="s">
        <v>14</v>
      </c>
      <c r="I55" s="13">
        <v>10</v>
      </c>
      <c r="J55" s="13">
        <v>20</v>
      </c>
      <c r="K55" s="22">
        <v>70</v>
      </c>
      <c r="L55" s="13">
        <v>0</v>
      </c>
      <c r="M55" s="13">
        <v>0</v>
      </c>
      <c r="N55" s="17">
        <f t="shared" si="1"/>
        <v>100</v>
      </c>
      <c r="O55" s="43"/>
      <c r="P55" s="43"/>
      <c r="Q55" s="43"/>
      <c r="R55" s="43"/>
      <c r="S55" s="4"/>
      <c r="T55" s="4"/>
      <c r="U55" s="4"/>
      <c r="V55" s="4"/>
      <c r="W55" s="4"/>
      <c r="X55" s="4"/>
      <c r="Y55" s="4"/>
      <c r="Z55" s="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</row>
    <row r="56" spans="1:52" s="26" customFormat="1" ht="32.25" customHeight="1" x14ac:dyDescent="0.3">
      <c r="A56" s="76">
        <v>51</v>
      </c>
      <c r="B56" s="13" t="s">
        <v>78</v>
      </c>
      <c r="C56" s="13" t="s">
        <v>19</v>
      </c>
      <c r="D56" s="14" t="s">
        <v>20</v>
      </c>
      <c r="E56" s="13" t="s">
        <v>147</v>
      </c>
      <c r="F56" s="15" t="s">
        <v>152</v>
      </c>
      <c r="G56" s="16" t="s">
        <v>153</v>
      </c>
      <c r="H56" s="13" t="s">
        <v>15</v>
      </c>
      <c r="I56" s="13">
        <v>10</v>
      </c>
      <c r="J56" s="13">
        <v>10</v>
      </c>
      <c r="K56" s="13">
        <v>20</v>
      </c>
      <c r="L56" s="22">
        <v>50</v>
      </c>
      <c r="M56" s="13">
        <v>10</v>
      </c>
      <c r="N56" s="17">
        <f t="shared" si="1"/>
        <v>100</v>
      </c>
      <c r="O56" s="43"/>
      <c r="P56" s="43"/>
      <c r="Q56" s="43"/>
      <c r="R56" s="43"/>
      <c r="S56" s="4"/>
      <c r="T56" s="4"/>
      <c r="U56" s="4"/>
      <c r="V56" s="4"/>
      <c r="W56" s="4"/>
      <c r="X56" s="4"/>
      <c r="Y56" s="4"/>
      <c r="Z56" s="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</row>
    <row r="57" spans="1:52" s="26" customFormat="1" ht="32.25" customHeight="1" x14ac:dyDescent="0.3">
      <c r="A57" s="76">
        <v>52</v>
      </c>
      <c r="B57" s="13" t="s">
        <v>78</v>
      </c>
      <c r="C57" s="13" t="s">
        <v>23</v>
      </c>
      <c r="D57" s="14" t="s">
        <v>57</v>
      </c>
      <c r="E57" s="13" t="s">
        <v>109</v>
      </c>
      <c r="F57" s="15" t="s">
        <v>112</v>
      </c>
      <c r="G57" s="16" t="s">
        <v>113</v>
      </c>
      <c r="H57" s="13" t="s">
        <v>14</v>
      </c>
      <c r="I57" s="13">
        <v>30</v>
      </c>
      <c r="J57" s="13">
        <v>20</v>
      </c>
      <c r="K57" s="22">
        <v>40</v>
      </c>
      <c r="L57" s="13">
        <v>10</v>
      </c>
      <c r="M57" s="13">
        <v>0</v>
      </c>
      <c r="N57" s="17">
        <f t="shared" si="1"/>
        <v>100</v>
      </c>
      <c r="O57" s="13"/>
      <c r="P57" s="13"/>
      <c r="Q57" s="13"/>
      <c r="R57" s="13"/>
      <c r="S57" s="4"/>
      <c r="T57" s="4"/>
      <c r="U57" s="4"/>
      <c r="V57" s="4"/>
      <c r="W57" s="4"/>
      <c r="X57" s="4"/>
      <c r="Y57" s="4"/>
      <c r="Z57" s="4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21"/>
      <c r="AV57" s="21"/>
      <c r="AW57" s="21"/>
      <c r="AX57" s="21"/>
      <c r="AY57" s="21"/>
      <c r="AZ57" s="21"/>
    </row>
    <row r="58" spans="1:52" s="26" customFormat="1" ht="27" x14ac:dyDescent="0.3">
      <c r="A58" s="76">
        <v>53</v>
      </c>
      <c r="B58" s="13" t="s">
        <v>78</v>
      </c>
      <c r="C58" s="13" t="s">
        <v>23</v>
      </c>
      <c r="D58" s="14" t="s">
        <v>57</v>
      </c>
      <c r="E58" s="13" t="s">
        <v>109</v>
      </c>
      <c r="F58" s="15" t="s">
        <v>110</v>
      </c>
      <c r="G58" s="16" t="s">
        <v>111</v>
      </c>
      <c r="H58" s="13" t="s">
        <v>14</v>
      </c>
      <c r="I58" s="13">
        <v>20</v>
      </c>
      <c r="J58" s="13">
        <v>30</v>
      </c>
      <c r="K58" s="22">
        <v>50</v>
      </c>
      <c r="L58" s="13">
        <v>0</v>
      </c>
      <c r="M58" s="13">
        <v>0</v>
      </c>
      <c r="N58" s="17">
        <f t="shared" si="1"/>
        <v>100</v>
      </c>
      <c r="O58" s="43"/>
      <c r="P58" s="43"/>
      <c r="Q58" s="43"/>
      <c r="R58" s="43"/>
      <c r="S58" s="4"/>
      <c r="T58" s="4"/>
      <c r="U58" s="4"/>
      <c r="V58" s="4"/>
      <c r="W58" s="4"/>
      <c r="X58" s="4"/>
      <c r="Y58" s="4"/>
      <c r="Z58" s="4"/>
      <c r="AA58" s="43"/>
      <c r="AB58" s="43"/>
      <c r="AC58" s="43"/>
      <c r="AD58" s="43"/>
      <c r="AE58" s="43"/>
      <c r="AF58" s="43"/>
      <c r="AG58" s="43"/>
      <c r="AH58" s="43"/>
      <c r="AI58" s="43"/>
      <c r="AJ58" s="43"/>
    </row>
    <row r="59" spans="1:52" s="26" customFormat="1" ht="32.25" customHeight="1" x14ac:dyDescent="0.3">
      <c r="A59" s="76">
        <v>54</v>
      </c>
      <c r="B59" s="13" t="s">
        <v>78</v>
      </c>
      <c r="C59" s="13" t="s">
        <v>19</v>
      </c>
      <c r="D59" s="14" t="s">
        <v>57</v>
      </c>
      <c r="E59" s="13" t="s">
        <v>138</v>
      </c>
      <c r="F59" s="16" t="s">
        <v>247</v>
      </c>
      <c r="G59" s="16" t="s">
        <v>248</v>
      </c>
      <c r="H59" s="13" t="s">
        <v>12</v>
      </c>
      <c r="I59" s="22">
        <v>60</v>
      </c>
      <c r="J59" s="13">
        <v>0</v>
      </c>
      <c r="K59" s="13">
        <v>20</v>
      </c>
      <c r="L59" s="13">
        <v>20</v>
      </c>
      <c r="M59" s="13">
        <v>0</v>
      </c>
      <c r="N59" s="17">
        <f t="shared" si="1"/>
        <v>100</v>
      </c>
      <c r="O59" s="43"/>
      <c r="P59" s="43"/>
      <c r="Q59" s="43"/>
      <c r="R59" s="43"/>
      <c r="S59" s="4"/>
      <c r="T59" s="4"/>
      <c r="U59" s="4"/>
      <c r="V59" s="4"/>
      <c r="W59" s="4"/>
      <c r="X59" s="4"/>
      <c r="Y59" s="4"/>
      <c r="Z59" s="4"/>
      <c r="AA59" s="43"/>
      <c r="AB59" s="43"/>
      <c r="AC59" s="43"/>
      <c r="AD59" s="43"/>
      <c r="AE59" s="43"/>
      <c r="AF59" s="43"/>
      <c r="AG59" s="43"/>
      <c r="AH59" s="43"/>
      <c r="AI59" s="43"/>
      <c r="AJ59" s="43"/>
    </row>
    <row r="60" spans="1:52" s="26" customFormat="1" ht="32.25" customHeight="1" x14ac:dyDescent="0.3">
      <c r="A60" s="76">
        <v>55</v>
      </c>
      <c r="B60" s="13" t="s">
        <v>78</v>
      </c>
      <c r="C60" s="13" t="s">
        <v>19</v>
      </c>
      <c r="D60" s="14" t="s">
        <v>20</v>
      </c>
      <c r="E60" s="13" t="s">
        <v>232</v>
      </c>
      <c r="F60" s="15" t="s">
        <v>249</v>
      </c>
      <c r="G60" s="16" t="s">
        <v>250</v>
      </c>
      <c r="H60" s="13" t="s">
        <v>12</v>
      </c>
      <c r="I60" s="22">
        <v>50</v>
      </c>
      <c r="J60" s="13">
        <v>10</v>
      </c>
      <c r="K60" s="13">
        <v>10</v>
      </c>
      <c r="L60" s="13">
        <v>20</v>
      </c>
      <c r="M60" s="13">
        <v>10</v>
      </c>
      <c r="N60" s="17">
        <f t="shared" si="1"/>
        <v>100</v>
      </c>
      <c r="O60" s="39"/>
      <c r="P60" s="39"/>
      <c r="Q60" s="39"/>
      <c r="R60" s="39"/>
      <c r="S60" s="4"/>
      <c r="T60" s="4"/>
      <c r="U60" s="4"/>
      <c r="V60" s="4"/>
      <c r="W60" s="4"/>
      <c r="X60" s="4"/>
      <c r="Y60" s="4"/>
      <c r="Z60" s="4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3"/>
      <c r="AV60" s="23"/>
      <c r="AW60" s="23"/>
      <c r="AX60" s="23"/>
      <c r="AY60" s="23"/>
      <c r="AZ60" s="23"/>
    </row>
    <row r="61" spans="1:52" s="26" customFormat="1" ht="32.25" customHeight="1" x14ac:dyDescent="0.3">
      <c r="A61" s="76">
        <v>56</v>
      </c>
      <c r="B61" s="13" t="s">
        <v>78</v>
      </c>
      <c r="C61" s="13" t="s">
        <v>19</v>
      </c>
      <c r="D61" s="14" t="s">
        <v>107</v>
      </c>
      <c r="E61" s="13" t="s">
        <v>154</v>
      </c>
      <c r="F61" s="15" t="s">
        <v>155</v>
      </c>
      <c r="G61" s="16" t="s">
        <v>156</v>
      </c>
      <c r="H61" s="13" t="s">
        <v>14</v>
      </c>
      <c r="I61" s="13">
        <v>20</v>
      </c>
      <c r="J61" s="13">
        <v>0</v>
      </c>
      <c r="K61" s="22">
        <v>50</v>
      </c>
      <c r="L61" s="13">
        <v>30</v>
      </c>
      <c r="M61" s="13">
        <v>0</v>
      </c>
      <c r="N61" s="17">
        <f t="shared" si="1"/>
        <v>100</v>
      </c>
      <c r="O61" s="39"/>
      <c r="P61" s="39"/>
      <c r="Q61" s="39"/>
      <c r="R61" s="39"/>
      <c r="S61" s="4"/>
      <c r="T61" s="4"/>
      <c r="U61" s="4"/>
      <c r="V61" s="4"/>
      <c r="W61" s="4"/>
      <c r="X61" s="4"/>
      <c r="Y61" s="4"/>
      <c r="Z61" s="4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3"/>
      <c r="AV61" s="23"/>
      <c r="AW61" s="23"/>
      <c r="AX61" s="23"/>
      <c r="AY61" s="23"/>
      <c r="AZ61" s="23"/>
    </row>
    <row r="62" spans="1:52" s="26" customFormat="1" ht="32.25" customHeight="1" x14ac:dyDescent="0.3">
      <c r="A62" s="76">
        <v>57</v>
      </c>
      <c r="B62" s="13" t="s">
        <v>78</v>
      </c>
      <c r="C62" s="13" t="s">
        <v>23</v>
      </c>
      <c r="D62" s="13" t="s">
        <v>57</v>
      </c>
      <c r="E62" s="13" t="s">
        <v>235</v>
      </c>
      <c r="F62" s="16" t="s">
        <v>93</v>
      </c>
      <c r="G62" s="16" t="s">
        <v>94</v>
      </c>
      <c r="H62" s="13" t="s">
        <v>16</v>
      </c>
      <c r="I62" s="27">
        <v>0</v>
      </c>
      <c r="J62" s="27">
        <v>0</v>
      </c>
      <c r="K62" s="27">
        <v>0</v>
      </c>
      <c r="L62" s="27">
        <v>30</v>
      </c>
      <c r="M62" s="22">
        <v>70</v>
      </c>
      <c r="N62" s="17">
        <f t="shared" si="1"/>
        <v>100</v>
      </c>
      <c r="O62" s="13"/>
      <c r="P62" s="13"/>
      <c r="Q62" s="13"/>
      <c r="R62" s="13"/>
      <c r="S62" s="4"/>
      <c r="T62" s="4"/>
      <c r="U62" s="4"/>
      <c r="V62" s="4"/>
      <c r="W62" s="4"/>
      <c r="X62" s="4"/>
      <c r="Y62" s="4"/>
      <c r="Z62" s="4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23"/>
      <c r="AV62" s="23"/>
      <c r="AW62" s="23"/>
      <c r="AX62" s="23"/>
      <c r="AY62" s="23"/>
      <c r="AZ62" s="23"/>
    </row>
    <row r="63" spans="1:52" s="26" customFormat="1" ht="32.25" customHeight="1" x14ac:dyDescent="0.3">
      <c r="A63" s="76">
        <v>58</v>
      </c>
      <c r="B63" s="13" t="s">
        <v>78</v>
      </c>
      <c r="C63" s="13" t="s">
        <v>23</v>
      </c>
      <c r="D63" s="13" t="s">
        <v>57</v>
      </c>
      <c r="E63" s="13" t="s">
        <v>235</v>
      </c>
      <c r="F63" s="16" t="s">
        <v>91</v>
      </c>
      <c r="G63" s="16" t="s">
        <v>92</v>
      </c>
      <c r="H63" s="13" t="s">
        <v>16</v>
      </c>
      <c r="I63" s="27">
        <v>0</v>
      </c>
      <c r="J63" s="27">
        <v>0</v>
      </c>
      <c r="K63" s="27">
        <v>0</v>
      </c>
      <c r="L63" s="27">
        <v>30</v>
      </c>
      <c r="M63" s="22">
        <v>70</v>
      </c>
      <c r="N63" s="17">
        <f t="shared" si="1"/>
        <v>100</v>
      </c>
      <c r="O63" s="13"/>
      <c r="P63" s="13"/>
      <c r="Q63" s="13"/>
      <c r="R63" s="13"/>
      <c r="S63" s="4"/>
      <c r="T63" s="4"/>
      <c r="U63" s="4"/>
      <c r="V63" s="4"/>
      <c r="W63" s="4"/>
      <c r="X63" s="4"/>
      <c r="Y63" s="4"/>
      <c r="Z63" s="4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23"/>
      <c r="AV63" s="23"/>
      <c r="AW63" s="23"/>
      <c r="AX63" s="23"/>
      <c r="AY63" s="23"/>
      <c r="AZ63" s="23"/>
    </row>
    <row r="64" spans="1:52" s="26" customFormat="1" ht="27" x14ac:dyDescent="0.3">
      <c r="A64" s="76">
        <v>59</v>
      </c>
      <c r="B64" s="4" t="s">
        <v>78</v>
      </c>
      <c r="C64" s="4" t="s">
        <v>23</v>
      </c>
      <c r="D64" s="5" t="s">
        <v>57</v>
      </c>
      <c r="E64" s="13" t="s">
        <v>235</v>
      </c>
      <c r="F64" s="4" t="s">
        <v>251</v>
      </c>
      <c r="G64" s="6" t="s">
        <v>252</v>
      </c>
      <c r="H64" s="4" t="s">
        <v>16</v>
      </c>
      <c r="I64" s="4">
        <v>0</v>
      </c>
      <c r="J64" s="4">
        <v>0</v>
      </c>
      <c r="K64" s="4">
        <v>0</v>
      </c>
      <c r="L64" s="4">
        <v>40</v>
      </c>
      <c r="M64" s="12">
        <v>60</v>
      </c>
      <c r="N64" s="7">
        <f t="shared" si="1"/>
        <v>100</v>
      </c>
      <c r="O64" s="41"/>
      <c r="P64" s="41"/>
      <c r="Q64" s="41"/>
      <c r="R64" s="41"/>
      <c r="S64" s="4"/>
      <c r="T64" s="4"/>
      <c r="U64" s="4"/>
      <c r="V64" s="4"/>
      <c r="W64" s="4"/>
      <c r="X64" s="4"/>
      <c r="Y64" s="4"/>
      <c r="Z64" s="4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</row>
    <row r="65" spans="1:52" s="26" customFormat="1" ht="40.5" x14ac:dyDescent="0.3">
      <c r="A65" s="76">
        <v>60</v>
      </c>
      <c r="B65" s="4" t="s">
        <v>78</v>
      </c>
      <c r="C65" s="4" t="s">
        <v>23</v>
      </c>
      <c r="D65" s="5" t="s">
        <v>57</v>
      </c>
      <c r="E65" s="4" t="s">
        <v>53</v>
      </c>
      <c r="F65" s="6" t="s">
        <v>253</v>
      </c>
      <c r="G65" s="6" t="s">
        <v>254</v>
      </c>
      <c r="H65" s="4" t="s">
        <v>14</v>
      </c>
      <c r="I65" s="4">
        <v>10</v>
      </c>
      <c r="J65" s="4">
        <v>10</v>
      </c>
      <c r="K65" s="12">
        <v>60</v>
      </c>
      <c r="L65" s="4">
        <v>10</v>
      </c>
      <c r="M65" s="4">
        <v>10</v>
      </c>
      <c r="N65" s="7">
        <f t="shared" si="1"/>
        <v>100</v>
      </c>
      <c r="O65" s="38"/>
      <c r="P65" s="38"/>
      <c r="Q65" s="38"/>
      <c r="R65" s="38"/>
      <c r="S65" s="4"/>
      <c r="T65" s="4"/>
      <c r="U65" s="4"/>
      <c r="V65" s="4"/>
      <c r="W65" s="4"/>
      <c r="X65" s="4"/>
      <c r="Y65" s="4"/>
      <c r="Z65" s="4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19"/>
      <c r="AL65" s="19"/>
      <c r="AM65" s="19"/>
      <c r="AN65" s="19"/>
      <c r="AO65" s="19"/>
      <c r="AP65" s="19"/>
      <c r="AQ65" s="19"/>
      <c r="AR65" s="19"/>
      <c r="AS65" s="19"/>
      <c r="AT65" s="19"/>
    </row>
    <row r="66" spans="1:52" s="26" customFormat="1" ht="32.25" customHeight="1" x14ac:dyDescent="0.3">
      <c r="A66" s="76">
        <v>61</v>
      </c>
      <c r="B66" s="13" t="s">
        <v>78</v>
      </c>
      <c r="C66" s="13" t="s">
        <v>19</v>
      </c>
      <c r="D66" s="14" t="s">
        <v>24</v>
      </c>
      <c r="E66" s="13" t="s">
        <v>235</v>
      </c>
      <c r="F66" s="15" t="s">
        <v>81</v>
      </c>
      <c r="G66" s="16" t="s">
        <v>82</v>
      </c>
      <c r="H66" s="13" t="s">
        <v>16</v>
      </c>
      <c r="I66" s="13">
        <v>0</v>
      </c>
      <c r="J66" s="13">
        <v>0</v>
      </c>
      <c r="K66" s="13">
        <v>0</v>
      </c>
      <c r="L66" s="13">
        <v>40</v>
      </c>
      <c r="M66" s="22">
        <v>60</v>
      </c>
      <c r="N66" s="17">
        <f t="shared" si="1"/>
        <v>100</v>
      </c>
      <c r="O66" s="38"/>
      <c r="P66" s="38"/>
      <c r="Q66" s="38"/>
      <c r="R66" s="38"/>
      <c r="S66" s="4"/>
      <c r="T66" s="4"/>
      <c r="U66" s="4"/>
      <c r="V66" s="4"/>
      <c r="W66" s="4"/>
      <c r="X66" s="4"/>
      <c r="Y66" s="4"/>
      <c r="Z66" s="4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19"/>
      <c r="AL66" s="19"/>
      <c r="AM66" s="19"/>
      <c r="AN66" s="19"/>
      <c r="AO66" s="19"/>
      <c r="AP66" s="19"/>
      <c r="AQ66" s="19"/>
      <c r="AR66" s="19"/>
      <c r="AS66" s="19"/>
      <c r="AT66" s="19"/>
    </row>
    <row r="67" spans="1:52" s="26" customFormat="1" ht="32.25" customHeight="1" x14ac:dyDescent="0.3">
      <c r="A67" s="76">
        <v>62</v>
      </c>
      <c r="B67" s="4" t="s">
        <v>78</v>
      </c>
      <c r="C67" s="4" t="s">
        <v>23</v>
      </c>
      <c r="D67" s="5" t="s">
        <v>57</v>
      </c>
      <c r="E67" s="4" t="s">
        <v>53</v>
      </c>
      <c r="F67" s="6" t="s">
        <v>255</v>
      </c>
      <c r="G67" s="6" t="s">
        <v>256</v>
      </c>
      <c r="H67" s="4" t="s">
        <v>14</v>
      </c>
      <c r="I67" s="4">
        <v>5</v>
      </c>
      <c r="J67" s="4">
        <v>10</v>
      </c>
      <c r="K67" s="12">
        <v>75</v>
      </c>
      <c r="L67" s="4">
        <v>10</v>
      </c>
      <c r="M67" s="4">
        <v>0</v>
      </c>
      <c r="N67" s="7">
        <f t="shared" si="1"/>
        <v>100</v>
      </c>
      <c r="O67" s="43"/>
      <c r="P67" s="43"/>
      <c r="Q67" s="43"/>
      <c r="R67" s="43"/>
      <c r="S67" s="4"/>
      <c r="T67" s="4"/>
      <c r="U67" s="4"/>
      <c r="V67" s="4"/>
      <c r="W67" s="4"/>
      <c r="X67" s="4"/>
      <c r="Y67" s="4"/>
      <c r="Z67" s="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</row>
    <row r="68" spans="1:52" s="26" customFormat="1" ht="32.25" customHeight="1" x14ac:dyDescent="0.3">
      <c r="A68" s="76">
        <v>63</v>
      </c>
      <c r="B68" s="13" t="s">
        <v>78</v>
      </c>
      <c r="C68" s="13" t="s">
        <v>19</v>
      </c>
      <c r="D68" s="14" t="s">
        <v>24</v>
      </c>
      <c r="E68" s="13" t="s">
        <v>219</v>
      </c>
      <c r="F68" s="15" t="s">
        <v>87</v>
      </c>
      <c r="G68" s="16" t="s">
        <v>88</v>
      </c>
      <c r="H68" s="13" t="s">
        <v>16</v>
      </c>
      <c r="I68" s="13">
        <v>0</v>
      </c>
      <c r="J68" s="13">
        <v>0</v>
      </c>
      <c r="K68" s="13">
        <v>0</v>
      </c>
      <c r="L68" s="13">
        <v>30</v>
      </c>
      <c r="M68" s="22">
        <v>70</v>
      </c>
      <c r="N68" s="17">
        <f t="shared" si="1"/>
        <v>100</v>
      </c>
      <c r="O68" s="43"/>
      <c r="P68" s="43"/>
      <c r="Q68" s="43"/>
      <c r="R68" s="43"/>
      <c r="S68" s="4"/>
      <c r="T68" s="4"/>
      <c r="U68" s="4"/>
      <c r="V68" s="4"/>
      <c r="W68" s="4"/>
      <c r="X68" s="4"/>
      <c r="Y68" s="4"/>
      <c r="Z68" s="4"/>
      <c r="AA68" s="43"/>
      <c r="AB68" s="43"/>
      <c r="AC68" s="43"/>
      <c r="AD68" s="43"/>
      <c r="AE68" s="43"/>
      <c r="AF68" s="43"/>
      <c r="AG68" s="43"/>
      <c r="AH68" s="43"/>
      <c r="AI68" s="43"/>
      <c r="AJ68" s="43"/>
    </row>
    <row r="69" spans="1:52" s="26" customFormat="1" ht="32.25" customHeight="1" x14ac:dyDescent="0.3">
      <c r="A69" s="76">
        <v>64</v>
      </c>
      <c r="B69" s="13" t="s">
        <v>78</v>
      </c>
      <c r="C69" s="13" t="s">
        <v>19</v>
      </c>
      <c r="D69" s="14" t="s">
        <v>20</v>
      </c>
      <c r="E69" s="13" t="s">
        <v>219</v>
      </c>
      <c r="F69" s="15" t="s">
        <v>83</v>
      </c>
      <c r="G69" s="16" t="s">
        <v>84</v>
      </c>
      <c r="H69" s="13" t="s">
        <v>16</v>
      </c>
      <c r="I69" s="13">
        <v>0</v>
      </c>
      <c r="J69" s="13">
        <v>0</v>
      </c>
      <c r="K69" s="13">
        <v>0</v>
      </c>
      <c r="L69" s="13">
        <v>30</v>
      </c>
      <c r="M69" s="22">
        <v>70</v>
      </c>
      <c r="N69" s="17">
        <f t="shared" si="1"/>
        <v>100</v>
      </c>
      <c r="O69" s="43"/>
      <c r="P69" s="43"/>
      <c r="Q69" s="43"/>
      <c r="R69" s="43"/>
      <c r="S69" s="4"/>
      <c r="T69" s="4"/>
      <c r="U69" s="4"/>
      <c r="V69" s="4"/>
      <c r="W69" s="4"/>
      <c r="X69" s="4"/>
      <c r="Y69" s="4"/>
      <c r="Z69" s="4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</row>
    <row r="70" spans="1:52" s="26" customFormat="1" ht="32.25" customHeight="1" x14ac:dyDescent="0.3">
      <c r="A70" s="76">
        <v>65</v>
      </c>
      <c r="B70" s="13" t="s">
        <v>78</v>
      </c>
      <c r="C70" s="13" t="s">
        <v>23</v>
      </c>
      <c r="D70" s="14" t="s">
        <v>20</v>
      </c>
      <c r="E70" s="13" t="s">
        <v>138</v>
      </c>
      <c r="F70" s="15" t="s">
        <v>139</v>
      </c>
      <c r="G70" s="16" t="s">
        <v>140</v>
      </c>
      <c r="H70" s="13" t="s">
        <v>15</v>
      </c>
      <c r="I70" s="13">
        <v>0</v>
      </c>
      <c r="J70" s="13">
        <v>20</v>
      </c>
      <c r="K70" s="13">
        <v>20</v>
      </c>
      <c r="L70" s="22">
        <v>60</v>
      </c>
      <c r="M70" s="13">
        <v>0</v>
      </c>
      <c r="N70" s="17">
        <f t="shared" si="1"/>
        <v>100</v>
      </c>
      <c r="O70" s="38"/>
      <c r="P70" s="38"/>
      <c r="Q70" s="38"/>
      <c r="R70" s="38"/>
      <c r="S70" s="4"/>
      <c r="T70" s="4"/>
      <c r="U70" s="4"/>
      <c r="V70" s="4"/>
      <c r="W70" s="4"/>
      <c r="X70" s="4"/>
      <c r="Y70" s="4"/>
      <c r="Z70" s="4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19"/>
      <c r="AL70" s="19"/>
      <c r="AM70" s="19"/>
      <c r="AN70" s="19"/>
      <c r="AO70" s="19"/>
      <c r="AP70" s="19"/>
      <c r="AQ70" s="19"/>
      <c r="AR70" s="19"/>
      <c r="AS70" s="19"/>
      <c r="AT70" s="19"/>
    </row>
    <row r="71" spans="1:52" s="26" customFormat="1" ht="32.25" customHeight="1" x14ac:dyDescent="0.3">
      <c r="A71" s="76">
        <v>66</v>
      </c>
      <c r="B71" s="13" t="s">
        <v>78</v>
      </c>
      <c r="C71" s="13" t="s">
        <v>19</v>
      </c>
      <c r="D71" s="14" t="s">
        <v>58</v>
      </c>
      <c r="E71" s="13" t="s">
        <v>138</v>
      </c>
      <c r="F71" s="15" t="s">
        <v>141</v>
      </c>
      <c r="G71" s="16" t="s">
        <v>142</v>
      </c>
      <c r="H71" s="13" t="s">
        <v>15</v>
      </c>
      <c r="I71" s="13">
        <v>20</v>
      </c>
      <c r="J71" s="13">
        <v>15</v>
      </c>
      <c r="K71" s="13">
        <v>15</v>
      </c>
      <c r="L71" s="22">
        <v>50</v>
      </c>
      <c r="M71" s="13">
        <v>0</v>
      </c>
      <c r="N71" s="17">
        <f t="shared" si="1"/>
        <v>100</v>
      </c>
      <c r="O71" s="38"/>
      <c r="P71" s="38"/>
      <c r="Q71" s="38"/>
      <c r="R71" s="38"/>
      <c r="S71" s="4"/>
      <c r="T71" s="4"/>
      <c r="U71" s="4"/>
      <c r="V71" s="4"/>
      <c r="W71" s="4"/>
      <c r="X71" s="4"/>
      <c r="Y71" s="4"/>
      <c r="Z71" s="4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19"/>
      <c r="AL71" s="19"/>
      <c r="AM71" s="19"/>
      <c r="AN71" s="19"/>
      <c r="AO71" s="19"/>
      <c r="AP71" s="19"/>
      <c r="AQ71" s="19"/>
      <c r="AR71" s="19"/>
      <c r="AS71" s="19"/>
      <c r="AT71" s="19"/>
    </row>
    <row r="72" spans="1:52" s="26" customFormat="1" ht="32.25" customHeight="1" x14ac:dyDescent="0.3">
      <c r="A72" s="76">
        <v>67</v>
      </c>
      <c r="B72" s="13" t="s">
        <v>78</v>
      </c>
      <c r="C72" s="13" t="s">
        <v>19</v>
      </c>
      <c r="D72" s="14" t="s">
        <v>34</v>
      </c>
      <c r="E72" s="13" t="s">
        <v>138</v>
      </c>
      <c r="F72" s="15" t="s">
        <v>143</v>
      </c>
      <c r="G72" s="16" t="s">
        <v>144</v>
      </c>
      <c r="H72" s="13" t="s">
        <v>15</v>
      </c>
      <c r="I72" s="13">
        <v>0</v>
      </c>
      <c r="J72" s="13">
        <v>20</v>
      </c>
      <c r="K72" s="13">
        <v>20</v>
      </c>
      <c r="L72" s="22">
        <v>60</v>
      </c>
      <c r="M72" s="13">
        <v>0</v>
      </c>
      <c r="N72" s="17">
        <f t="shared" si="1"/>
        <v>100</v>
      </c>
      <c r="O72" s="38"/>
      <c r="P72" s="38"/>
      <c r="Q72" s="38"/>
      <c r="R72" s="38"/>
      <c r="S72" s="4"/>
      <c r="T72" s="4"/>
      <c r="U72" s="4"/>
      <c r="V72" s="4"/>
      <c r="W72" s="4"/>
      <c r="X72" s="4"/>
      <c r="Y72" s="4"/>
      <c r="Z72" s="4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19"/>
      <c r="AL72" s="19"/>
      <c r="AM72" s="19"/>
      <c r="AN72" s="19"/>
      <c r="AO72" s="19"/>
      <c r="AP72" s="19"/>
      <c r="AQ72" s="19"/>
      <c r="AR72" s="19"/>
      <c r="AS72" s="19"/>
      <c r="AT72" s="19"/>
    </row>
    <row r="73" spans="1:52" s="26" customFormat="1" ht="32.25" customHeight="1" x14ac:dyDescent="0.3">
      <c r="A73" s="76">
        <v>68</v>
      </c>
      <c r="B73" s="4" t="s">
        <v>78</v>
      </c>
      <c r="C73" s="4" t="s">
        <v>23</v>
      </c>
      <c r="D73" s="5" t="s">
        <v>57</v>
      </c>
      <c r="E73" s="4" t="s">
        <v>225</v>
      </c>
      <c r="F73" s="4" t="s">
        <v>257</v>
      </c>
      <c r="G73" s="6" t="s">
        <v>258</v>
      </c>
      <c r="H73" s="4" t="s">
        <v>14</v>
      </c>
      <c r="I73" s="4">
        <v>0</v>
      </c>
      <c r="J73" s="4">
        <v>0</v>
      </c>
      <c r="K73" s="12">
        <v>80</v>
      </c>
      <c r="L73" s="4">
        <v>20</v>
      </c>
      <c r="M73" s="4">
        <v>0</v>
      </c>
      <c r="N73" s="7">
        <f t="shared" si="1"/>
        <v>100</v>
      </c>
      <c r="O73" s="38"/>
      <c r="P73" s="38"/>
      <c r="Q73" s="38"/>
      <c r="R73" s="38"/>
      <c r="S73" s="4"/>
      <c r="T73" s="4"/>
      <c r="U73" s="4"/>
      <c r="V73" s="4"/>
      <c r="W73" s="4"/>
      <c r="X73" s="4"/>
      <c r="Y73" s="4"/>
      <c r="Z73" s="4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19"/>
      <c r="AL73" s="19"/>
      <c r="AM73" s="19"/>
      <c r="AN73" s="19"/>
      <c r="AO73" s="19"/>
      <c r="AP73" s="19"/>
      <c r="AQ73" s="19"/>
      <c r="AR73" s="19"/>
      <c r="AS73" s="19"/>
      <c r="AT73" s="19"/>
    </row>
    <row r="74" spans="1:52" s="26" customFormat="1" ht="32.25" customHeight="1" x14ac:dyDescent="0.3">
      <c r="A74" s="76">
        <v>69</v>
      </c>
      <c r="B74" s="4" t="s">
        <v>78</v>
      </c>
      <c r="C74" s="4" t="s">
        <v>23</v>
      </c>
      <c r="D74" s="5" t="s">
        <v>57</v>
      </c>
      <c r="E74" s="4" t="s">
        <v>157</v>
      </c>
      <c r="F74" s="6" t="s">
        <v>259</v>
      </c>
      <c r="G74" s="6" t="s">
        <v>260</v>
      </c>
      <c r="H74" s="4" t="s">
        <v>12</v>
      </c>
      <c r="I74" s="12">
        <v>60</v>
      </c>
      <c r="J74" s="4">
        <v>0</v>
      </c>
      <c r="K74" s="4">
        <v>0</v>
      </c>
      <c r="L74" s="4">
        <v>20</v>
      </c>
      <c r="M74" s="4">
        <v>20</v>
      </c>
      <c r="N74" s="7">
        <f t="shared" si="1"/>
        <v>100</v>
      </c>
      <c r="O74" s="38"/>
      <c r="P74" s="38"/>
      <c r="Q74" s="38"/>
      <c r="R74" s="38"/>
      <c r="S74" s="4"/>
      <c r="T74" s="4"/>
      <c r="U74" s="4"/>
      <c r="V74" s="4"/>
      <c r="W74" s="4"/>
      <c r="X74" s="4"/>
      <c r="Y74" s="4"/>
      <c r="Z74" s="4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19"/>
      <c r="AL74" s="19"/>
      <c r="AM74" s="19"/>
      <c r="AN74" s="19"/>
      <c r="AO74" s="19"/>
      <c r="AP74" s="19"/>
      <c r="AQ74" s="19"/>
      <c r="AR74" s="19"/>
      <c r="AS74" s="19"/>
      <c r="AT74" s="19"/>
    </row>
    <row r="75" spans="1:52" s="26" customFormat="1" ht="32.25" customHeight="1" x14ac:dyDescent="0.3">
      <c r="A75" s="76">
        <v>70</v>
      </c>
      <c r="B75" s="13" t="s">
        <v>78</v>
      </c>
      <c r="C75" s="13" t="s">
        <v>19</v>
      </c>
      <c r="D75" s="14" t="s">
        <v>20</v>
      </c>
      <c r="E75" s="13" t="s">
        <v>235</v>
      </c>
      <c r="F75" s="15" t="s">
        <v>79</v>
      </c>
      <c r="G75" s="16" t="s">
        <v>80</v>
      </c>
      <c r="H75" s="13" t="s">
        <v>16</v>
      </c>
      <c r="I75" s="13">
        <v>0</v>
      </c>
      <c r="J75" s="13">
        <v>0</v>
      </c>
      <c r="K75" s="13">
        <v>0</v>
      </c>
      <c r="L75" s="13">
        <v>20</v>
      </c>
      <c r="M75" s="22">
        <v>80</v>
      </c>
      <c r="N75" s="17">
        <f t="shared" si="1"/>
        <v>100</v>
      </c>
      <c r="O75" s="38"/>
      <c r="P75" s="38"/>
      <c r="Q75" s="38"/>
      <c r="R75" s="38"/>
      <c r="S75" s="4"/>
      <c r="T75" s="4"/>
      <c r="U75" s="4"/>
      <c r="V75" s="4"/>
      <c r="W75" s="4"/>
      <c r="X75" s="4"/>
      <c r="Y75" s="4"/>
      <c r="Z75" s="4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19"/>
      <c r="AL75" s="19"/>
      <c r="AM75" s="19"/>
      <c r="AN75" s="19"/>
      <c r="AO75" s="19"/>
      <c r="AP75" s="19"/>
      <c r="AQ75" s="19"/>
      <c r="AR75" s="19"/>
      <c r="AS75" s="19"/>
      <c r="AT75" s="19"/>
    </row>
    <row r="76" spans="1:52" s="26" customFormat="1" ht="32.25" customHeight="1" x14ac:dyDescent="0.3">
      <c r="A76" s="76">
        <v>71</v>
      </c>
      <c r="B76" s="13" t="s">
        <v>78</v>
      </c>
      <c r="C76" s="13" t="s">
        <v>19</v>
      </c>
      <c r="D76" s="14" t="s">
        <v>20</v>
      </c>
      <c r="E76" s="13" t="s">
        <v>147</v>
      </c>
      <c r="F76" s="15" t="s">
        <v>148</v>
      </c>
      <c r="G76" s="16" t="s">
        <v>149</v>
      </c>
      <c r="H76" s="13" t="s">
        <v>14</v>
      </c>
      <c r="I76" s="13">
        <v>10</v>
      </c>
      <c r="J76" s="13">
        <v>10</v>
      </c>
      <c r="K76" s="22">
        <v>60</v>
      </c>
      <c r="L76" s="13">
        <v>10</v>
      </c>
      <c r="M76" s="13">
        <v>10</v>
      </c>
      <c r="N76" s="17">
        <f t="shared" si="1"/>
        <v>100</v>
      </c>
      <c r="O76" s="38"/>
      <c r="P76" s="38"/>
      <c r="Q76" s="38"/>
      <c r="R76" s="38"/>
      <c r="S76" s="4"/>
      <c r="T76" s="4"/>
      <c r="U76" s="4"/>
      <c r="V76" s="4"/>
      <c r="W76" s="4"/>
      <c r="X76" s="4"/>
      <c r="Y76" s="4"/>
      <c r="Z76" s="4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19"/>
      <c r="AL76" s="19"/>
      <c r="AM76" s="19"/>
      <c r="AN76" s="19"/>
      <c r="AO76" s="19"/>
      <c r="AP76" s="19"/>
      <c r="AQ76" s="19"/>
      <c r="AR76" s="19"/>
      <c r="AS76" s="19"/>
      <c r="AT76" s="19"/>
    </row>
    <row r="77" spans="1:52" s="26" customFormat="1" ht="32.25" customHeight="1" x14ac:dyDescent="0.3">
      <c r="A77" s="76">
        <v>72</v>
      </c>
      <c r="B77" s="13" t="s">
        <v>78</v>
      </c>
      <c r="C77" s="13" t="s">
        <v>19</v>
      </c>
      <c r="D77" s="13" t="s">
        <v>58</v>
      </c>
      <c r="E77" s="13" t="s">
        <v>104</v>
      </c>
      <c r="F77" s="15" t="s">
        <v>105</v>
      </c>
      <c r="G77" s="16" t="s">
        <v>106</v>
      </c>
      <c r="H77" s="13" t="s">
        <v>12</v>
      </c>
      <c r="I77" s="22">
        <v>30</v>
      </c>
      <c r="J77" s="13">
        <v>20</v>
      </c>
      <c r="K77" s="13">
        <v>10</v>
      </c>
      <c r="L77" s="13">
        <v>20</v>
      </c>
      <c r="M77" s="13">
        <v>20</v>
      </c>
      <c r="N77" s="17">
        <f t="shared" si="1"/>
        <v>100</v>
      </c>
      <c r="O77" s="38"/>
      <c r="P77" s="38"/>
      <c r="Q77" s="38"/>
      <c r="R77" s="38"/>
      <c r="S77" s="4"/>
      <c r="T77" s="4"/>
      <c r="U77" s="4"/>
      <c r="V77" s="4"/>
      <c r="W77" s="4"/>
      <c r="X77" s="4"/>
      <c r="Y77" s="4"/>
      <c r="Z77" s="4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19"/>
      <c r="AL77" s="19"/>
      <c r="AM77" s="19"/>
      <c r="AN77" s="19"/>
      <c r="AO77" s="19"/>
      <c r="AP77" s="19"/>
      <c r="AQ77" s="19"/>
      <c r="AR77" s="19"/>
      <c r="AS77" s="19"/>
      <c r="AT77" s="19"/>
    </row>
    <row r="78" spans="1:52" s="26" customFormat="1" ht="32.25" customHeight="1" x14ac:dyDescent="0.3">
      <c r="A78" s="76">
        <v>73</v>
      </c>
      <c r="B78" s="13" t="s">
        <v>78</v>
      </c>
      <c r="C78" s="13" t="s">
        <v>19</v>
      </c>
      <c r="D78" s="14" t="s">
        <v>58</v>
      </c>
      <c r="E78" s="13" t="s">
        <v>101</v>
      </c>
      <c r="F78" s="15" t="s">
        <v>102</v>
      </c>
      <c r="G78" s="16" t="s">
        <v>103</v>
      </c>
      <c r="H78" s="13" t="s">
        <v>13</v>
      </c>
      <c r="I78" s="13">
        <v>0</v>
      </c>
      <c r="J78" s="22">
        <v>50</v>
      </c>
      <c r="K78" s="13">
        <v>30</v>
      </c>
      <c r="L78" s="13">
        <v>20</v>
      </c>
      <c r="M78" s="13">
        <v>0</v>
      </c>
      <c r="N78" s="17">
        <f t="shared" si="1"/>
        <v>100</v>
      </c>
      <c r="O78" s="38"/>
      <c r="P78" s="38"/>
      <c r="Q78" s="38"/>
      <c r="R78" s="38"/>
      <c r="S78" s="4"/>
      <c r="T78" s="4"/>
      <c r="U78" s="4"/>
      <c r="V78" s="4"/>
      <c r="W78" s="4"/>
      <c r="X78" s="4"/>
      <c r="Y78" s="4"/>
      <c r="Z78" s="4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19"/>
      <c r="AL78" s="19"/>
      <c r="AM78" s="19"/>
      <c r="AN78" s="19"/>
      <c r="AO78" s="19"/>
      <c r="AP78" s="19"/>
      <c r="AQ78" s="19"/>
      <c r="AR78" s="19"/>
      <c r="AS78" s="19"/>
      <c r="AT78" s="19"/>
    </row>
    <row r="79" spans="1:52" s="26" customFormat="1" ht="32.25" customHeight="1" x14ac:dyDescent="0.3">
      <c r="A79" s="76">
        <v>74</v>
      </c>
      <c r="B79" s="13" t="s">
        <v>78</v>
      </c>
      <c r="C79" s="13" t="s">
        <v>19</v>
      </c>
      <c r="D79" s="14" t="s">
        <v>59</v>
      </c>
      <c r="E79" s="13" t="s">
        <v>231</v>
      </c>
      <c r="F79" s="15" t="s">
        <v>261</v>
      </c>
      <c r="G79" s="16" t="s">
        <v>133</v>
      </c>
      <c r="H79" s="13" t="s">
        <v>14</v>
      </c>
      <c r="I79" s="13">
        <v>15</v>
      </c>
      <c r="J79" s="13">
        <v>15</v>
      </c>
      <c r="K79" s="22">
        <v>50</v>
      </c>
      <c r="L79" s="13">
        <v>20</v>
      </c>
      <c r="M79" s="13">
        <v>0</v>
      </c>
      <c r="N79" s="17">
        <f t="shared" si="1"/>
        <v>100</v>
      </c>
      <c r="O79" s="38"/>
      <c r="P79" s="38"/>
      <c r="Q79" s="38"/>
      <c r="R79" s="38"/>
      <c r="S79" s="4"/>
      <c r="T79" s="4"/>
      <c r="U79" s="4"/>
      <c r="V79" s="4"/>
      <c r="W79" s="4"/>
      <c r="X79" s="4"/>
      <c r="Y79" s="4"/>
      <c r="Z79" s="4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19"/>
      <c r="AL79" s="19"/>
      <c r="AM79" s="19"/>
      <c r="AN79" s="19"/>
      <c r="AO79" s="19"/>
      <c r="AP79" s="19"/>
      <c r="AQ79" s="19"/>
      <c r="AR79" s="19"/>
      <c r="AS79" s="19"/>
      <c r="AT79" s="19"/>
    </row>
    <row r="80" spans="1:52" s="26" customFormat="1" ht="32.25" customHeight="1" x14ac:dyDescent="0.3">
      <c r="A80" s="76">
        <v>75</v>
      </c>
      <c r="B80" s="13" t="s">
        <v>78</v>
      </c>
      <c r="C80" s="13" t="s">
        <v>23</v>
      </c>
      <c r="D80" s="14" t="s">
        <v>28</v>
      </c>
      <c r="E80" s="13" t="s">
        <v>231</v>
      </c>
      <c r="F80" s="16" t="s">
        <v>145</v>
      </c>
      <c r="G80" s="16" t="s">
        <v>146</v>
      </c>
      <c r="H80" s="13" t="s">
        <v>14</v>
      </c>
      <c r="I80" s="13">
        <v>0</v>
      </c>
      <c r="J80" s="13">
        <v>20</v>
      </c>
      <c r="K80" s="22">
        <v>80</v>
      </c>
      <c r="L80" s="13">
        <v>0</v>
      </c>
      <c r="M80" s="13">
        <v>0</v>
      </c>
      <c r="N80" s="17">
        <f t="shared" si="1"/>
        <v>100</v>
      </c>
      <c r="O80" s="38"/>
      <c r="P80" s="38"/>
      <c r="Q80" s="38"/>
      <c r="R80" s="38"/>
      <c r="S80" s="4"/>
      <c r="T80" s="4"/>
      <c r="U80" s="4"/>
      <c r="V80" s="4"/>
      <c r="W80" s="4"/>
      <c r="X80" s="4"/>
      <c r="Y80" s="4"/>
      <c r="Z80" s="4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19"/>
      <c r="AL80" s="19"/>
      <c r="AM80" s="19"/>
      <c r="AN80" s="19"/>
      <c r="AO80" s="19"/>
      <c r="AP80" s="19"/>
      <c r="AQ80" s="19"/>
      <c r="AR80" s="19"/>
      <c r="AS80" s="19"/>
      <c r="AT80" s="19"/>
    </row>
    <row r="81" spans="1:46" s="26" customFormat="1" ht="32.25" customHeight="1" x14ac:dyDescent="0.3">
      <c r="A81" s="76">
        <v>76</v>
      </c>
      <c r="B81" s="13" t="s">
        <v>78</v>
      </c>
      <c r="C81" s="13" t="s">
        <v>19</v>
      </c>
      <c r="D81" s="14" t="s">
        <v>24</v>
      </c>
      <c r="E81" s="13" t="s">
        <v>232</v>
      </c>
      <c r="F81" s="15" t="s">
        <v>121</v>
      </c>
      <c r="G81" s="16" t="s">
        <v>122</v>
      </c>
      <c r="H81" s="13" t="s">
        <v>15</v>
      </c>
      <c r="I81" s="13">
        <v>30</v>
      </c>
      <c r="J81" s="13">
        <v>10</v>
      </c>
      <c r="K81" s="13">
        <v>20</v>
      </c>
      <c r="L81" s="22">
        <v>40</v>
      </c>
      <c r="M81" s="13">
        <v>0</v>
      </c>
      <c r="N81" s="17">
        <f t="shared" si="1"/>
        <v>100</v>
      </c>
      <c r="O81" s="38"/>
      <c r="P81" s="38"/>
      <c r="Q81" s="38"/>
      <c r="R81" s="38"/>
      <c r="S81" s="4"/>
      <c r="T81" s="4"/>
      <c r="U81" s="4"/>
      <c r="V81" s="4"/>
      <c r="W81" s="4"/>
      <c r="X81" s="4"/>
      <c r="Y81" s="4"/>
      <c r="Z81" s="4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19"/>
      <c r="AL81" s="19"/>
      <c r="AM81" s="19"/>
      <c r="AN81" s="19"/>
      <c r="AO81" s="19"/>
      <c r="AP81" s="19"/>
      <c r="AQ81" s="19"/>
      <c r="AR81" s="19"/>
      <c r="AS81" s="19"/>
      <c r="AT81" s="19"/>
    </row>
    <row r="82" spans="1:46" s="26" customFormat="1" ht="32.25" customHeight="1" x14ac:dyDescent="0.3">
      <c r="A82" s="76">
        <v>77</v>
      </c>
      <c r="B82" s="13" t="s">
        <v>78</v>
      </c>
      <c r="C82" s="13" t="s">
        <v>23</v>
      </c>
      <c r="D82" s="14" t="s">
        <v>95</v>
      </c>
      <c r="E82" s="13" t="s">
        <v>231</v>
      </c>
      <c r="F82" s="15" t="s">
        <v>262</v>
      </c>
      <c r="G82" s="16" t="s">
        <v>137</v>
      </c>
      <c r="H82" s="13" t="s">
        <v>14</v>
      </c>
      <c r="I82" s="13">
        <v>0</v>
      </c>
      <c r="J82" s="13">
        <v>25</v>
      </c>
      <c r="K82" s="22">
        <v>50</v>
      </c>
      <c r="L82" s="13">
        <v>25</v>
      </c>
      <c r="M82" s="13">
        <v>0</v>
      </c>
      <c r="N82" s="17">
        <f t="shared" si="1"/>
        <v>100</v>
      </c>
      <c r="O82" s="38"/>
      <c r="P82" s="38"/>
      <c r="Q82" s="38"/>
      <c r="R82" s="38"/>
      <c r="S82" s="4"/>
      <c r="T82" s="4"/>
      <c r="U82" s="4"/>
      <c r="V82" s="4"/>
      <c r="W82" s="4"/>
      <c r="X82" s="4"/>
      <c r="Y82" s="4"/>
      <c r="Z82" s="4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19"/>
      <c r="AL82" s="19"/>
      <c r="AM82" s="19"/>
      <c r="AN82" s="19"/>
      <c r="AO82" s="19"/>
      <c r="AP82" s="19"/>
      <c r="AQ82" s="19"/>
      <c r="AR82" s="19"/>
      <c r="AS82" s="19"/>
      <c r="AT82" s="19"/>
    </row>
    <row r="83" spans="1:46" s="26" customFormat="1" ht="32.25" customHeight="1" x14ac:dyDescent="0.3">
      <c r="A83" s="76">
        <v>78</v>
      </c>
      <c r="B83" s="13" t="s">
        <v>78</v>
      </c>
      <c r="C83" s="13" t="s">
        <v>19</v>
      </c>
      <c r="D83" s="14" t="s">
        <v>20</v>
      </c>
      <c r="E83" s="13" t="s">
        <v>231</v>
      </c>
      <c r="F83" s="15" t="s">
        <v>123</v>
      </c>
      <c r="G83" s="16" t="s">
        <v>124</v>
      </c>
      <c r="H83" s="13" t="s">
        <v>14</v>
      </c>
      <c r="I83" s="13">
        <v>25</v>
      </c>
      <c r="J83" s="13">
        <v>25</v>
      </c>
      <c r="K83" s="22">
        <v>50</v>
      </c>
      <c r="L83" s="13">
        <v>0</v>
      </c>
      <c r="M83" s="13">
        <v>0</v>
      </c>
      <c r="N83" s="17">
        <f t="shared" si="1"/>
        <v>100</v>
      </c>
      <c r="O83" s="38"/>
      <c r="P83" s="38"/>
      <c r="Q83" s="38"/>
      <c r="R83" s="38"/>
      <c r="S83" s="4"/>
      <c r="T83" s="4"/>
      <c r="U83" s="4"/>
      <c r="V83" s="4"/>
      <c r="W83" s="4"/>
      <c r="X83" s="4"/>
      <c r="Y83" s="4"/>
      <c r="Z83" s="4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19"/>
      <c r="AL83" s="19"/>
      <c r="AM83" s="19"/>
      <c r="AN83" s="19"/>
      <c r="AO83" s="19"/>
      <c r="AP83" s="19"/>
      <c r="AQ83" s="19"/>
      <c r="AR83" s="19"/>
      <c r="AS83" s="19"/>
      <c r="AT83" s="19"/>
    </row>
    <row r="84" spans="1:46" s="26" customFormat="1" ht="32.25" customHeight="1" x14ac:dyDescent="0.3">
      <c r="A84" s="76">
        <v>79</v>
      </c>
      <c r="B84" s="13" t="s">
        <v>78</v>
      </c>
      <c r="C84" s="13" t="s">
        <v>19</v>
      </c>
      <c r="D84" s="14" t="s">
        <v>20</v>
      </c>
      <c r="E84" s="13" t="s">
        <v>231</v>
      </c>
      <c r="F84" s="15" t="s">
        <v>125</v>
      </c>
      <c r="G84" s="16" t="s">
        <v>126</v>
      </c>
      <c r="H84" s="13" t="s">
        <v>14</v>
      </c>
      <c r="I84" s="13">
        <v>0</v>
      </c>
      <c r="J84" s="13">
        <v>10</v>
      </c>
      <c r="K84" s="22">
        <v>80</v>
      </c>
      <c r="L84" s="13">
        <v>10</v>
      </c>
      <c r="M84" s="13">
        <v>0</v>
      </c>
      <c r="N84" s="17">
        <f t="shared" si="1"/>
        <v>100</v>
      </c>
      <c r="O84" s="38"/>
      <c r="P84" s="38"/>
      <c r="Q84" s="38"/>
      <c r="R84" s="38"/>
      <c r="S84" s="4"/>
      <c r="T84" s="4"/>
      <c r="U84" s="4"/>
      <c r="V84" s="4"/>
      <c r="W84" s="4"/>
      <c r="X84" s="4"/>
      <c r="Y84" s="4"/>
      <c r="Z84" s="4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19"/>
      <c r="AL84" s="19"/>
      <c r="AM84" s="19"/>
      <c r="AN84" s="19"/>
      <c r="AO84" s="19"/>
      <c r="AP84" s="19"/>
      <c r="AQ84" s="19"/>
      <c r="AR84" s="19"/>
      <c r="AS84" s="19"/>
      <c r="AT84" s="19"/>
    </row>
    <row r="85" spans="1:46" s="26" customFormat="1" ht="32.25" customHeight="1" x14ac:dyDescent="0.3">
      <c r="A85" s="76">
        <v>80</v>
      </c>
      <c r="B85" s="13" t="s">
        <v>78</v>
      </c>
      <c r="C85" s="13" t="s">
        <v>19</v>
      </c>
      <c r="D85" s="14" t="s">
        <v>20</v>
      </c>
      <c r="E85" s="13" t="s">
        <v>231</v>
      </c>
      <c r="F85" s="15" t="s">
        <v>136</v>
      </c>
      <c r="G85" s="16" t="s">
        <v>263</v>
      </c>
      <c r="H85" s="13" t="s">
        <v>14</v>
      </c>
      <c r="I85" s="13">
        <v>20</v>
      </c>
      <c r="J85" s="13">
        <v>0</v>
      </c>
      <c r="K85" s="22">
        <v>60</v>
      </c>
      <c r="L85" s="13">
        <v>20</v>
      </c>
      <c r="M85" s="13">
        <v>0</v>
      </c>
      <c r="N85" s="17">
        <f t="shared" si="1"/>
        <v>100</v>
      </c>
      <c r="O85" s="38"/>
      <c r="P85" s="38"/>
      <c r="Q85" s="38"/>
      <c r="R85" s="38"/>
      <c r="S85" s="4"/>
      <c r="T85" s="4"/>
      <c r="U85" s="4"/>
      <c r="V85" s="4"/>
      <c r="W85" s="4"/>
      <c r="X85" s="4"/>
      <c r="Y85" s="4"/>
      <c r="Z85" s="4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19"/>
      <c r="AL85" s="19"/>
      <c r="AM85" s="19"/>
      <c r="AN85" s="19"/>
      <c r="AO85" s="19"/>
      <c r="AP85" s="19"/>
      <c r="AQ85" s="19"/>
      <c r="AR85" s="19"/>
      <c r="AS85" s="19"/>
      <c r="AT85" s="19"/>
    </row>
    <row r="86" spans="1:46" s="26" customFormat="1" ht="32.25" customHeight="1" x14ac:dyDescent="0.3">
      <c r="A86" s="76">
        <v>81</v>
      </c>
      <c r="B86" s="13" t="s">
        <v>78</v>
      </c>
      <c r="C86" s="13" t="s">
        <v>19</v>
      </c>
      <c r="D86" s="14" t="s">
        <v>52</v>
      </c>
      <c r="E86" s="13" t="s">
        <v>231</v>
      </c>
      <c r="F86" s="15" t="s">
        <v>130</v>
      </c>
      <c r="G86" s="16" t="s">
        <v>131</v>
      </c>
      <c r="H86" s="13" t="s">
        <v>14</v>
      </c>
      <c r="I86" s="13">
        <v>20</v>
      </c>
      <c r="J86" s="13">
        <v>20</v>
      </c>
      <c r="K86" s="22">
        <v>50</v>
      </c>
      <c r="L86" s="13">
        <v>10</v>
      </c>
      <c r="M86" s="13">
        <v>0</v>
      </c>
      <c r="N86" s="17">
        <f t="shared" si="1"/>
        <v>100</v>
      </c>
      <c r="O86" s="38"/>
      <c r="P86" s="38"/>
      <c r="Q86" s="38"/>
      <c r="R86" s="38"/>
      <c r="S86" s="4"/>
      <c r="T86" s="4"/>
      <c r="U86" s="4"/>
      <c r="V86" s="4"/>
      <c r="W86" s="4"/>
      <c r="X86" s="4"/>
      <c r="Y86" s="4"/>
      <c r="Z86" s="4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19"/>
      <c r="AL86" s="19"/>
      <c r="AM86" s="19"/>
      <c r="AN86" s="19"/>
      <c r="AO86" s="19"/>
      <c r="AP86" s="19"/>
      <c r="AQ86" s="19"/>
      <c r="AR86" s="19"/>
      <c r="AS86" s="19"/>
      <c r="AT86" s="19"/>
    </row>
  </sheetData>
  <dataConsolidate function="count" topLabels="1">
    <dataRefs count="1">
      <dataRef ref="D3:D119" sheet="201803 확정" r:id="rId1"/>
    </dataRefs>
  </dataConsolidate>
  <mergeCells count="18">
    <mergeCell ref="F4:F5"/>
    <mergeCell ref="G4:G5"/>
    <mergeCell ref="AB4:AB5"/>
    <mergeCell ref="A2:AJ2"/>
    <mergeCell ref="O3:AJ3"/>
    <mergeCell ref="S4:V4"/>
    <mergeCell ref="W4:Z4"/>
    <mergeCell ref="AC4:AF4"/>
    <mergeCell ref="AI4:AI5"/>
    <mergeCell ref="AJ4:AJ5"/>
    <mergeCell ref="AA4:AA5"/>
    <mergeCell ref="A3:N3"/>
    <mergeCell ref="H4:N4"/>
    <mergeCell ref="A4:A5"/>
    <mergeCell ref="B4:B5"/>
    <mergeCell ref="C4:C5"/>
    <mergeCell ref="D4:D5"/>
    <mergeCell ref="E4:E5"/>
  </mergeCells>
  <phoneticPr fontId="3" type="noConversion"/>
  <conditionalFormatting sqref="F87:F1048576 F1">
    <cfRule type="duplicateValues" dxfId="1" priority="3"/>
  </conditionalFormatting>
  <conditionalFormatting sqref="F4">
    <cfRule type="duplicateValues" dxfId="0" priority="1"/>
  </conditionalFormatting>
  <pageMargins left="0.25" right="0.25" top="0.75" bottom="0.75" header="0.3" footer="0.3"/>
  <pageSetup paperSize="9" scale="48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FB3A-CF6F-4BAB-A8BD-AD77B11BE8E9}">
  <sheetPr>
    <tabColor rgb="FF92D050"/>
    <pageSetUpPr fitToPage="1"/>
  </sheetPr>
  <dimension ref="A1:AR25"/>
  <sheetViews>
    <sheetView tabSelected="1" topLeftCell="H1" zoomScaleNormal="100" workbookViewId="0">
      <selection activeCell="AG8" sqref="AG8"/>
    </sheetView>
  </sheetViews>
  <sheetFormatPr defaultRowHeight="16.5" x14ac:dyDescent="0.3"/>
  <cols>
    <col min="1" max="1" width="4.75" style="52" bestFit="1" customWidth="1"/>
    <col min="2" max="2" width="13.125" style="32" customWidth="1"/>
    <col min="3" max="3" width="23.875" style="32" customWidth="1"/>
    <col min="4" max="4" width="38.625" style="32" customWidth="1"/>
    <col min="5" max="5" width="14" style="32" customWidth="1"/>
    <col min="6" max="6" width="14.125" style="32" customWidth="1"/>
    <col min="7" max="7" width="15.625" style="32" customWidth="1"/>
    <col min="8" max="9" width="11.375" style="32" customWidth="1"/>
    <col min="10" max="10" width="12.625" style="32" customWidth="1"/>
    <col min="11" max="16" width="5" style="32" customWidth="1"/>
    <col min="17" max="18" width="5" customWidth="1"/>
    <col min="19" max="19" width="12.875" style="32" customWidth="1"/>
    <col min="20" max="20" width="10.5" style="36" customWidth="1"/>
    <col min="21" max="21" width="5.375" style="32" bestFit="1" customWidth="1"/>
    <col min="22" max="22" width="4.5" style="32" bestFit="1" customWidth="1"/>
    <col min="23" max="23" width="5.375" style="32" bestFit="1" customWidth="1"/>
    <col min="24" max="24" width="4.5" style="32" bestFit="1" customWidth="1"/>
    <col min="25" max="25" width="4.75" style="36" bestFit="1" customWidth="1"/>
    <col min="26" max="26" width="11.25" style="36" customWidth="1"/>
    <col min="27" max="27" width="14" style="36" customWidth="1"/>
    <col min="28" max="28" width="14.625" style="32" customWidth="1"/>
    <col min="29" max="29" width="6.375" style="36" bestFit="1" customWidth="1"/>
    <col min="30" max="30" width="10" style="36" customWidth="1"/>
    <col min="31" max="31" width="22.375" style="32" customWidth="1"/>
  </cols>
  <sheetData>
    <row r="1" spans="1:44" ht="41.25" customHeight="1" x14ac:dyDescent="0.3">
      <c r="A1" s="65" t="s">
        <v>269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</row>
    <row r="2" spans="1:44" ht="136.5" customHeight="1" x14ac:dyDescent="0.3">
      <c r="A2" s="99" t="s">
        <v>267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</row>
    <row r="3" spans="1:44" s="30" customFormat="1" ht="17.25" customHeight="1" x14ac:dyDescent="0.3">
      <c r="A3" s="102" t="s">
        <v>1</v>
      </c>
      <c r="B3" s="102" t="s">
        <v>184</v>
      </c>
      <c r="C3" s="103" t="s">
        <v>186</v>
      </c>
      <c r="D3" s="103" t="s">
        <v>187</v>
      </c>
      <c r="E3" s="100" t="s">
        <v>206</v>
      </c>
      <c r="F3" s="103" t="s">
        <v>188</v>
      </c>
      <c r="G3" s="81" t="s">
        <v>189</v>
      </c>
      <c r="H3" s="104" t="s">
        <v>190</v>
      </c>
      <c r="I3" s="89" t="s">
        <v>191</v>
      </c>
      <c r="J3" s="66" t="s">
        <v>166</v>
      </c>
      <c r="K3" s="84" t="s">
        <v>192</v>
      </c>
      <c r="L3" s="85"/>
      <c r="M3" s="85"/>
      <c r="N3" s="86"/>
      <c r="O3" s="84" t="s">
        <v>193</v>
      </c>
      <c r="P3" s="85"/>
      <c r="Q3" s="85"/>
      <c r="R3" s="86"/>
      <c r="S3" s="89" t="s">
        <v>202</v>
      </c>
      <c r="T3" s="81" t="s">
        <v>194</v>
      </c>
      <c r="U3" s="87" t="s">
        <v>195</v>
      </c>
      <c r="V3" s="87"/>
      <c r="W3" s="87"/>
      <c r="X3" s="87"/>
      <c r="Y3" s="89" t="s">
        <v>185</v>
      </c>
      <c r="Z3" s="81" t="s">
        <v>196</v>
      </c>
      <c r="AA3" s="81" t="s">
        <v>197</v>
      </c>
      <c r="AB3" s="87" t="s">
        <v>201</v>
      </c>
      <c r="AC3" s="81" t="s">
        <v>203</v>
      </c>
      <c r="AD3" s="81" t="s">
        <v>198</v>
      </c>
      <c r="AE3" s="87" t="s">
        <v>199</v>
      </c>
    </row>
    <row r="4" spans="1:44" s="30" customFormat="1" ht="63.75" customHeight="1" x14ac:dyDescent="0.3">
      <c r="A4" s="102"/>
      <c r="B4" s="102"/>
      <c r="C4" s="103"/>
      <c r="D4" s="103"/>
      <c r="E4" s="101"/>
      <c r="F4" s="103"/>
      <c r="G4" s="81"/>
      <c r="H4" s="105"/>
      <c r="I4" s="90"/>
      <c r="J4" s="67" t="s">
        <v>170</v>
      </c>
      <c r="K4" s="68" t="s">
        <v>171</v>
      </c>
      <c r="L4" s="68" t="s">
        <v>172</v>
      </c>
      <c r="M4" s="68" t="s">
        <v>173</v>
      </c>
      <c r="N4" s="68" t="s">
        <v>200</v>
      </c>
      <c r="O4" s="69" t="s">
        <v>174</v>
      </c>
      <c r="P4" s="69" t="s">
        <v>175</v>
      </c>
      <c r="Q4" s="70" t="s">
        <v>176</v>
      </c>
      <c r="R4" s="70" t="s">
        <v>177</v>
      </c>
      <c r="S4" s="90"/>
      <c r="T4" s="81"/>
      <c r="U4" s="71" t="s">
        <v>178</v>
      </c>
      <c r="V4" s="71" t="s">
        <v>179</v>
      </c>
      <c r="W4" s="71" t="s">
        <v>180</v>
      </c>
      <c r="X4" s="71" t="s">
        <v>181</v>
      </c>
      <c r="Y4" s="90"/>
      <c r="Z4" s="81"/>
      <c r="AA4" s="81"/>
      <c r="AB4" s="87"/>
      <c r="AC4" s="81"/>
      <c r="AD4" s="81"/>
      <c r="AE4" s="87"/>
    </row>
    <row r="5" spans="1:44" s="56" customFormat="1" ht="42" customHeight="1" x14ac:dyDescent="0.3">
      <c r="A5" s="54">
        <v>1</v>
      </c>
      <c r="B5" s="13" t="s">
        <v>270</v>
      </c>
      <c r="C5" s="13" t="s">
        <v>280</v>
      </c>
      <c r="D5" s="80" t="s">
        <v>281</v>
      </c>
      <c r="E5" s="13" t="s">
        <v>273</v>
      </c>
      <c r="F5" s="13" t="s">
        <v>271</v>
      </c>
      <c r="G5" s="13" t="s">
        <v>272</v>
      </c>
      <c r="H5" s="13" t="s">
        <v>277</v>
      </c>
      <c r="I5" s="13" t="s">
        <v>279</v>
      </c>
      <c r="J5" s="13" t="s">
        <v>270</v>
      </c>
      <c r="K5" s="13" t="s">
        <v>273</v>
      </c>
      <c r="L5" s="13"/>
      <c r="M5" s="13"/>
      <c r="N5" s="13"/>
      <c r="O5" s="13"/>
      <c r="P5" s="13"/>
      <c r="Q5" s="55"/>
      <c r="R5" s="55"/>
      <c r="S5" s="14" t="s">
        <v>274</v>
      </c>
      <c r="T5" s="13">
        <v>10</v>
      </c>
      <c r="U5" s="13" t="s">
        <v>273</v>
      </c>
      <c r="V5" s="14"/>
      <c r="W5" s="13" t="s">
        <v>273</v>
      </c>
      <c r="X5" s="14"/>
      <c r="Y5" s="13">
        <v>4</v>
      </c>
      <c r="Z5" s="13">
        <v>8</v>
      </c>
      <c r="AA5" s="13" t="s">
        <v>278</v>
      </c>
      <c r="AB5" s="14"/>
      <c r="AC5" s="43" t="s">
        <v>275</v>
      </c>
      <c r="AD5" s="13" t="s">
        <v>276</v>
      </c>
      <c r="AE5" s="14"/>
    </row>
    <row r="6" spans="1:44" s="30" customFormat="1" ht="27.75" customHeight="1" x14ac:dyDescent="0.3">
      <c r="A6" s="5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/>
      <c r="T6" s="4"/>
      <c r="U6" s="5"/>
      <c r="V6" s="5"/>
      <c r="W6" s="5"/>
      <c r="X6" s="5"/>
      <c r="Y6" s="4"/>
      <c r="Z6" s="4"/>
      <c r="AA6" s="4"/>
      <c r="AB6" s="4"/>
      <c r="AC6" s="4"/>
      <c r="AD6" s="4"/>
      <c r="AE6" s="57"/>
    </row>
    <row r="7" spans="1:44" s="30" customFormat="1" ht="27.75" customHeight="1" x14ac:dyDescent="0.3">
      <c r="A7" s="5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8"/>
      <c r="R7" s="58"/>
      <c r="S7" s="5"/>
      <c r="T7" s="4"/>
      <c r="U7" s="5"/>
      <c r="V7" s="5"/>
      <c r="W7" s="5"/>
      <c r="X7" s="5"/>
      <c r="Y7" s="4"/>
      <c r="Z7" s="4"/>
      <c r="AA7" s="4"/>
      <c r="AB7" s="4"/>
      <c r="AC7" s="4"/>
      <c r="AD7" s="4"/>
      <c r="AE7" s="59"/>
    </row>
    <row r="8" spans="1:44" s="30" customFormat="1" ht="27.75" customHeight="1" x14ac:dyDescent="0.3">
      <c r="A8" s="5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8"/>
      <c r="R8" s="58"/>
      <c r="S8" s="5"/>
      <c r="T8" s="4"/>
      <c r="U8" s="5"/>
      <c r="V8" s="5"/>
      <c r="W8" s="5"/>
      <c r="X8" s="5"/>
      <c r="Y8" s="4"/>
      <c r="Z8" s="4"/>
      <c r="AA8" s="4"/>
      <c r="AB8" s="5"/>
      <c r="AC8" s="4"/>
      <c r="AD8" s="4"/>
      <c r="AE8" s="59"/>
    </row>
    <row r="9" spans="1:44" s="30" customFormat="1" ht="27.75" customHeight="1" x14ac:dyDescent="0.3">
      <c r="A9" s="5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5"/>
      <c r="T9" s="4"/>
      <c r="U9" s="5"/>
      <c r="V9" s="5"/>
      <c r="W9" s="5"/>
      <c r="X9" s="5"/>
      <c r="Y9" s="4"/>
      <c r="Z9" s="4"/>
      <c r="AA9" s="4"/>
      <c r="AB9" s="4"/>
      <c r="AC9" s="4"/>
      <c r="AD9" s="4"/>
      <c r="AE9" s="8"/>
    </row>
    <row r="10" spans="1:44" s="30" customFormat="1" ht="27.75" customHeight="1" x14ac:dyDescent="0.3">
      <c r="A10" s="54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55"/>
      <c r="R10" s="55"/>
      <c r="S10" s="14"/>
      <c r="T10" s="13"/>
      <c r="U10" s="14"/>
      <c r="V10" s="14"/>
      <c r="W10" s="14"/>
      <c r="X10" s="14"/>
      <c r="Y10" s="13"/>
      <c r="Z10" s="13"/>
      <c r="AA10" s="13"/>
      <c r="AB10" s="14"/>
      <c r="AC10" s="13"/>
      <c r="AD10" s="13"/>
      <c r="AE10" s="14"/>
    </row>
    <row r="11" spans="1:44" s="30" customFormat="1" ht="27.75" customHeight="1" x14ac:dyDescent="0.3">
      <c r="A11" s="54"/>
      <c r="B11" s="13"/>
      <c r="C11" s="13"/>
      <c r="D11" s="13"/>
      <c r="E11" s="60"/>
      <c r="F11" s="60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55"/>
      <c r="R11" s="55"/>
      <c r="S11" s="14"/>
      <c r="T11" s="13"/>
      <c r="U11" s="14"/>
      <c r="V11" s="14"/>
      <c r="W11" s="14"/>
      <c r="X11" s="14"/>
      <c r="Y11" s="13"/>
      <c r="Z11" s="13"/>
      <c r="AA11" s="13"/>
      <c r="AB11" s="14"/>
      <c r="AC11" s="13"/>
      <c r="AD11" s="13"/>
      <c r="AE11" s="61"/>
    </row>
    <row r="12" spans="1:44" s="30" customFormat="1" ht="27.75" customHeight="1" x14ac:dyDescent="0.3">
      <c r="A12" s="54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55"/>
      <c r="R12" s="55"/>
      <c r="S12" s="14"/>
      <c r="T12" s="13"/>
      <c r="U12" s="14"/>
      <c r="V12" s="14"/>
      <c r="W12" s="14"/>
      <c r="X12" s="14"/>
      <c r="Y12" s="13"/>
      <c r="Z12" s="13"/>
      <c r="AA12" s="13"/>
      <c r="AB12" s="14"/>
      <c r="AC12" s="13"/>
      <c r="AD12" s="13"/>
      <c r="AE12" s="14"/>
    </row>
    <row r="13" spans="1:44" s="30" customFormat="1" ht="27.75" customHeight="1" x14ac:dyDescent="0.3">
      <c r="A13" s="54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55"/>
      <c r="R13" s="55"/>
      <c r="S13" s="14"/>
      <c r="T13" s="13"/>
      <c r="U13" s="14"/>
      <c r="V13" s="14"/>
      <c r="W13" s="13"/>
      <c r="X13" s="14"/>
      <c r="Y13" s="13"/>
      <c r="Z13" s="13"/>
      <c r="AA13" s="13"/>
      <c r="AB13" s="14"/>
      <c r="AC13" s="13"/>
      <c r="AD13" s="13"/>
      <c r="AE13" s="14"/>
    </row>
    <row r="14" spans="1:44" s="30" customFormat="1" ht="27.75" customHeight="1" x14ac:dyDescent="0.3">
      <c r="A14" s="54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55"/>
      <c r="R14" s="55"/>
      <c r="S14" s="14"/>
      <c r="T14" s="13"/>
      <c r="U14" s="14"/>
      <c r="V14" s="14"/>
      <c r="W14" s="13"/>
      <c r="X14" s="14"/>
      <c r="Y14" s="13"/>
      <c r="Z14" s="13"/>
      <c r="AA14" s="13"/>
      <c r="AB14" s="14"/>
      <c r="AC14" s="13"/>
      <c r="AD14" s="13"/>
      <c r="AE14" s="14"/>
    </row>
    <row r="15" spans="1:44" s="30" customFormat="1" ht="27.75" customHeight="1" x14ac:dyDescent="0.3">
      <c r="A15" s="54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55"/>
      <c r="R15" s="55"/>
      <c r="S15" s="14"/>
      <c r="T15" s="13"/>
      <c r="U15" s="14"/>
      <c r="V15" s="14"/>
      <c r="W15" s="14"/>
      <c r="X15" s="14"/>
      <c r="Y15" s="13"/>
      <c r="Z15" s="13"/>
      <c r="AA15" s="13"/>
      <c r="AB15" s="14"/>
      <c r="AC15" s="13"/>
      <c r="AD15" s="13"/>
      <c r="AE15" s="14"/>
    </row>
    <row r="16" spans="1:44" s="30" customFormat="1" ht="27.75" customHeight="1" x14ac:dyDescent="0.3">
      <c r="A16" s="54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55"/>
      <c r="R16" s="55"/>
      <c r="S16" s="14"/>
      <c r="T16" s="13"/>
      <c r="U16" s="14"/>
      <c r="V16" s="14"/>
      <c r="W16" s="14"/>
      <c r="X16" s="14"/>
      <c r="Y16" s="13"/>
      <c r="Z16" s="13"/>
      <c r="AA16" s="13"/>
      <c r="AB16" s="14"/>
      <c r="AC16" s="13"/>
      <c r="AD16" s="13"/>
      <c r="AE16" s="14"/>
    </row>
    <row r="17" spans="1:31" s="30" customFormat="1" ht="27.75" customHeight="1" x14ac:dyDescent="0.3">
      <c r="A17" s="54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55"/>
      <c r="R17" s="55"/>
      <c r="S17" s="14"/>
      <c r="T17" s="13"/>
      <c r="U17" s="14"/>
      <c r="V17" s="14"/>
      <c r="W17" s="14"/>
      <c r="X17" s="14"/>
      <c r="Y17" s="13"/>
      <c r="Z17" s="13"/>
      <c r="AA17" s="13"/>
      <c r="AB17" s="14"/>
      <c r="AC17" s="13"/>
      <c r="AD17" s="13"/>
      <c r="AE17" s="5"/>
    </row>
    <row r="18" spans="1:31" s="30" customFormat="1" ht="27.75" customHeight="1" x14ac:dyDescent="0.3">
      <c r="A18" s="54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55"/>
      <c r="R18" s="55"/>
      <c r="S18" s="14"/>
      <c r="T18" s="13"/>
      <c r="U18" s="14"/>
      <c r="V18" s="14"/>
      <c r="W18" s="14"/>
      <c r="X18" s="14"/>
      <c r="Y18" s="13"/>
      <c r="Z18" s="13"/>
      <c r="AA18" s="13"/>
      <c r="AB18" s="14"/>
      <c r="AC18" s="13"/>
      <c r="AD18" s="13"/>
      <c r="AE18" s="5"/>
    </row>
    <row r="19" spans="1:31" s="30" customFormat="1" ht="27.75" customHeight="1" x14ac:dyDescent="0.3">
      <c r="A19" s="54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55"/>
      <c r="R19" s="55"/>
      <c r="S19" s="14"/>
      <c r="T19" s="13"/>
      <c r="U19" s="14"/>
      <c r="V19" s="14"/>
      <c r="W19" s="14"/>
      <c r="X19" s="14"/>
      <c r="Y19" s="13"/>
      <c r="Z19" s="13"/>
      <c r="AA19" s="13"/>
      <c r="AB19" s="14"/>
      <c r="AC19" s="13"/>
      <c r="AD19" s="13"/>
      <c r="AE19" s="5"/>
    </row>
    <row r="20" spans="1:31" s="30" customFormat="1" ht="27.75" customHeight="1" x14ac:dyDescent="0.3">
      <c r="A20" s="54"/>
      <c r="B20" s="13"/>
      <c r="C20" s="13"/>
      <c r="D20" s="13"/>
      <c r="E20" s="13"/>
      <c r="F20" s="13"/>
      <c r="G20" s="13"/>
      <c r="H20" s="13"/>
      <c r="I20" s="13"/>
      <c r="J20" s="13"/>
      <c r="K20" s="14"/>
      <c r="L20" s="14"/>
      <c r="M20" s="14"/>
      <c r="N20" s="14"/>
      <c r="O20" s="13"/>
      <c r="P20" s="13"/>
      <c r="Q20" s="55"/>
      <c r="R20" s="55"/>
      <c r="S20" s="13"/>
      <c r="T20" s="62"/>
      <c r="U20" s="14"/>
      <c r="V20" s="14"/>
      <c r="W20" s="14"/>
      <c r="X20" s="14"/>
      <c r="Y20" s="13"/>
      <c r="Z20" s="13"/>
      <c r="AA20" s="13"/>
      <c r="AB20" s="14"/>
      <c r="AC20" s="13"/>
      <c r="AD20" s="13"/>
      <c r="AE20" s="14"/>
    </row>
    <row r="21" spans="1:31" s="30" customFormat="1" ht="27.75" customHeight="1" x14ac:dyDescent="0.3">
      <c r="A21" s="54"/>
      <c r="B21" s="13"/>
      <c r="C21" s="13"/>
      <c r="D21" s="63"/>
      <c r="E21" s="63"/>
      <c r="F21" s="13"/>
      <c r="G21" s="13"/>
      <c r="H21" s="13"/>
      <c r="I21" s="13"/>
      <c r="J21" s="13"/>
      <c r="K21" s="14"/>
      <c r="L21" s="14"/>
      <c r="M21" s="14"/>
      <c r="N21" s="14"/>
      <c r="O21" s="13"/>
      <c r="P21" s="13"/>
      <c r="Q21" s="55"/>
      <c r="R21" s="55"/>
      <c r="S21" s="13"/>
      <c r="T21" s="62"/>
      <c r="U21" s="14"/>
      <c r="V21" s="14"/>
      <c r="W21" s="14"/>
      <c r="X21" s="14"/>
      <c r="Y21" s="13"/>
      <c r="Z21" s="13"/>
      <c r="AA21" s="13"/>
      <c r="AB21" s="14"/>
      <c r="AC21" s="38"/>
      <c r="AD21" s="13"/>
      <c r="AE21" s="14"/>
    </row>
    <row r="22" spans="1:31" s="30" customFormat="1" ht="27.75" customHeight="1" x14ac:dyDescent="0.3">
      <c r="A22" s="54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55"/>
      <c r="R22" s="55"/>
      <c r="S22" s="13"/>
      <c r="T22" s="62"/>
      <c r="U22" s="14"/>
      <c r="V22" s="14"/>
      <c r="W22" s="14"/>
      <c r="X22" s="14"/>
      <c r="Y22" s="13"/>
      <c r="Z22" s="13"/>
      <c r="AA22" s="13"/>
      <c r="AB22" s="14"/>
      <c r="AC22" s="13"/>
      <c r="AD22" s="13"/>
      <c r="AE22" s="14"/>
    </row>
    <row r="23" spans="1:31" s="30" customFormat="1" ht="27.75" customHeight="1" x14ac:dyDescent="0.3">
      <c r="A23" s="54"/>
      <c r="B23" s="13"/>
      <c r="C23" s="13"/>
      <c r="D23" s="13"/>
      <c r="E23" s="13"/>
      <c r="F23" s="13"/>
      <c r="G23" s="13"/>
      <c r="H23" s="13"/>
      <c r="I23" s="13"/>
      <c r="J23" s="13"/>
      <c r="K23" s="14"/>
      <c r="L23" s="14"/>
      <c r="M23" s="14"/>
      <c r="N23" s="14"/>
      <c r="O23" s="13"/>
      <c r="P23" s="13"/>
      <c r="Q23" s="55"/>
      <c r="R23" s="55"/>
      <c r="S23" s="13"/>
      <c r="T23" s="62"/>
      <c r="U23" s="14"/>
      <c r="V23" s="14"/>
      <c r="W23" s="14"/>
      <c r="X23" s="14"/>
      <c r="Y23" s="13"/>
      <c r="Z23" s="13"/>
      <c r="AA23" s="13"/>
      <c r="AB23" s="14"/>
      <c r="AC23" s="13"/>
      <c r="AD23" s="13"/>
      <c r="AE23" s="14"/>
    </row>
    <row r="24" spans="1:31" s="30" customFormat="1" ht="27.75" customHeight="1" x14ac:dyDescent="0.3">
      <c r="A24" s="54"/>
      <c r="B24" s="13"/>
      <c r="C24" s="13"/>
      <c r="D24" s="39"/>
      <c r="E24" s="39"/>
      <c r="F24" s="13"/>
      <c r="G24" s="13"/>
      <c r="H24" s="13"/>
      <c r="I24" s="13"/>
      <c r="J24" s="13"/>
      <c r="K24" s="13"/>
      <c r="L24" s="13"/>
      <c r="M24" s="14"/>
      <c r="N24" s="14"/>
      <c r="O24" s="13"/>
      <c r="P24" s="13"/>
      <c r="Q24" s="55"/>
      <c r="R24" s="55"/>
      <c r="S24" s="13"/>
      <c r="T24" s="62"/>
      <c r="U24" s="14"/>
      <c r="V24" s="14"/>
      <c r="W24" s="14"/>
      <c r="X24" s="14"/>
      <c r="Y24" s="13"/>
      <c r="Z24" s="13"/>
      <c r="AA24" s="13"/>
      <c r="AB24" s="14"/>
      <c r="AC24" s="13"/>
      <c r="AD24" s="13"/>
      <c r="AE24" s="14"/>
    </row>
    <row r="25" spans="1:31" s="30" customFormat="1" ht="27.75" customHeight="1" x14ac:dyDescent="0.3">
      <c r="A25" s="54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55"/>
      <c r="R25" s="55"/>
      <c r="S25" s="14"/>
      <c r="T25" s="13"/>
      <c r="U25" s="14"/>
      <c r="V25" s="14"/>
      <c r="W25" s="14"/>
      <c r="X25" s="14"/>
      <c r="Y25" s="13"/>
      <c r="Z25" s="13"/>
      <c r="AA25" s="13"/>
      <c r="AB25" s="14"/>
      <c r="AC25" s="13"/>
      <c r="AD25" s="13"/>
      <c r="AE25" s="5"/>
    </row>
  </sheetData>
  <autoFilter ref="A4:AR25" xr:uid="{00000000-0009-0000-0000-000001000000}">
    <sortState ref="A9:AR37">
      <sortCondition descending="1" ref="F4:F37"/>
    </sortState>
  </autoFilter>
  <mergeCells count="22">
    <mergeCell ref="AD3:AD4"/>
    <mergeCell ref="I3:I4"/>
    <mergeCell ref="K3:N3"/>
    <mergeCell ref="O3:R3"/>
    <mergeCell ref="S3:S4"/>
    <mergeCell ref="T3:T4"/>
    <mergeCell ref="A2:AE2"/>
    <mergeCell ref="Y3:Y4"/>
    <mergeCell ref="Z3:Z4"/>
    <mergeCell ref="AA3:AA4"/>
    <mergeCell ref="AB3:AB4"/>
    <mergeCell ref="AC3:AC4"/>
    <mergeCell ref="E3:E4"/>
    <mergeCell ref="U3:X3"/>
    <mergeCell ref="A3:A4"/>
    <mergeCell ref="B3:B4"/>
    <mergeCell ref="C3:C4"/>
    <mergeCell ref="D3:D4"/>
    <mergeCell ref="F3:F4"/>
    <mergeCell ref="G3:G4"/>
    <mergeCell ref="H3:H4"/>
    <mergeCell ref="AE3:AE4"/>
  </mergeCells>
  <phoneticPr fontId="3" type="noConversion"/>
  <pageMargins left="0.25" right="0.25" top="0.75" bottom="0.75" header="0.3" footer="0.3"/>
  <pageSetup paperSize="9" scale="4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서식2-1. 인증 프로그램(기등록)</vt:lpstr>
      <vt:lpstr>서식2-2.신규 및 미등록 프로그램</vt:lpstr>
      <vt:lpstr>'서식2-1. 인증 프로그램(기등록)'!Print_Area</vt:lpstr>
      <vt:lpstr>'서식2-2.신규 및 미등록 프로그램'!Print_Area</vt:lpstr>
      <vt:lpstr>'서식2-1. 인증 프로그램(기등록)'!Print_Titles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이용직 </cp:lastModifiedBy>
  <dcterms:created xsi:type="dcterms:W3CDTF">2024-04-19T06:46:50Z</dcterms:created>
  <dcterms:modified xsi:type="dcterms:W3CDTF">2025-06-30T23:53:12Z</dcterms:modified>
</cp:coreProperties>
</file>